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pin\Downloads\Gestion de Personal\"/>
    </mc:Choice>
  </mc:AlternateContent>
  <xr:revisionPtr revIDLastSave="0" documentId="8_{D8A9CF22-BA75-4031-BBA8-282F72D56EC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ograma" sheetId="1" r:id="rId1"/>
    <sheet name="Personal" sheetId="2" r:id="rId2"/>
    <sheet name="Equipos" sheetId="3" r:id="rId3"/>
    <sheet name="Personal ausente" sheetId="4" r:id="rId4"/>
    <sheet name="Puestos Fijos" sheetId="5" r:id="rId5"/>
    <sheet name="Puestos SKU" sheetId="6" r:id="rId6"/>
    <sheet name="Operadores" sheetId="7" r:id="rId7"/>
    <sheet name="Lineas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95" i="2" l="1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" i="2"/>
</calcChain>
</file>

<file path=xl/sharedStrings.xml><?xml version="1.0" encoding="utf-8"?>
<sst xmlns="http://schemas.openxmlformats.org/spreadsheetml/2006/main" count="1522" uniqueCount="703">
  <si>
    <t>OrdenProceso</t>
  </si>
  <si>
    <t>FechaProd</t>
  </si>
  <si>
    <t>Comentario</t>
  </si>
  <si>
    <t>Semana</t>
  </si>
  <si>
    <t>Linea</t>
  </si>
  <si>
    <t>Item</t>
  </si>
  <si>
    <t>Cajas</t>
  </si>
  <si>
    <t>Botellas</t>
  </si>
  <si>
    <t>TipoBot</t>
  </si>
  <si>
    <t>Producto</t>
  </si>
  <si>
    <t>Turno</t>
  </si>
  <si>
    <t>Velocidad</t>
  </si>
  <si>
    <t>QUERY(
  IMPORTRANGE("1SPK2njVPanY2MIEDCq7MD0sESwOXvy9EXs7yHOXXAxA", "Programa!A1:K"), 
  "Select Col2, Col3, Col4, Col5, Col6, Col7, Col8, Col9, Col10, Col11 
   Where (Col6 = 'Linea 1' or Col6 = 'Linea 2' or Col6 = 'Linea 4') 
   and (Col3 = date '"&amp;TEXTO(HOY()-1, "yyyy-mm-dd")&amp;"' 
     or Col3 = date '"&amp;TEXTO(HOY(), "yyyy-mm-dd")&amp;"' 
     or Col3 = date '"&amp;TEXTO(HOY()+1, "yyyy-mm-dd")&amp;"')
   Order By Col6 Asc", 
  1
)</t>
  </si>
  <si>
    <t>Linea 1</t>
  </si>
  <si>
    <t>850EC0832L35</t>
  </si>
  <si>
    <t>N</t>
  </si>
  <si>
    <t>Blanco Reserva EC 12X1000Ml Vid S/E 35%</t>
  </si>
  <si>
    <t>1T8</t>
  </si>
  <si>
    <t>delantera para 787 cjsAntes 839 cajas</t>
  </si>
  <si>
    <t>850MX0832L35</t>
  </si>
  <si>
    <t>Blanco Reserva MX 12X1000Ml Vid S/E 35%</t>
  </si>
  <si>
    <t>675 cajas</t>
  </si>
  <si>
    <t>850RM4H32L40</t>
  </si>
  <si>
    <t>R</t>
  </si>
  <si>
    <t>Perfect 10 RM 12X1000Ml Vid S/E 40%</t>
  </si>
  <si>
    <t>2T8</t>
  </si>
  <si>
    <t>850SV4H32L40</t>
  </si>
  <si>
    <t>Perfect 10 SV 12X1000Ml Vid S/E 40%</t>
  </si>
  <si>
    <t>1T12</t>
  </si>
  <si>
    <t>850MX0632L35</t>
  </si>
  <si>
    <t>Oro Reserva MX 12X1000Ml Vid S/E 35%</t>
  </si>
  <si>
    <t>2T12</t>
  </si>
  <si>
    <t>850EC0632L32</t>
  </si>
  <si>
    <t>Oro Reserva EC 12X1000Ml Vid S/E 32%</t>
  </si>
  <si>
    <t>850EC0618I32</t>
  </si>
  <si>
    <t>Oro Reserva EC 24X375Ml Vid S/E 32%</t>
  </si>
  <si>
    <t>Trasera 1000ml + sticker en c/barra</t>
  </si>
  <si>
    <t>Linea 2</t>
  </si>
  <si>
    <t>850EC0640O32</t>
  </si>
  <si>
    <t>Oro Reserva EC 6X1750Ml Vid S/E 32%</t>
  </si>
  <si>
    <t>Trasera litro + código de barra</t>
  </si>
  <si>
    <t>850SP0440O35</t>
  </si>
  <si>
    <t>Gran Reserva SP 6X1750Ml Vid S/E 35%</t>
  </si>
  <si>
    <t>850PX0440O35</t>
  </si>
  <si>
    <t>Gran Reserva PX 6X1750Ml Vid S/E 35%</t>
  </si>
  <si>
    <t>Cambiar c/de barra a trasera</t>
  </si>
  <si>
    <t>850NI6F26L28</t>
  </si>
  <si>
    <t>Cristalino NI 12X750Ml Vid S/E 28%</t>
  </si>
  <si>
    <t>850NI0126L35</t>
  </si>
  <si>
    <t>12 Años NI 12X750Ml Vid S/E 35%</t>
  </si>
  <si>
    <t>850SP0126L35</t>
  </si>
  <si>
    <t>12 Años SP 12X750Ml Vid S/E 35%</t>
  </si>
  <si>
    <t>850SP0127L35</t>
  </si>
  <si>
    <t>12 Años SP 12X750Ml Vid C/E 35%</t>
  </si>
  <si>
    <t>850CR0118I35</t>
  </si>
  <si>
    <t>12 Años CR 24X375Ml Vid S/E 35%</t>
  </si>
  <si>
    <t>850SV0118I35</t>
  </si>
  <si>
    <t>12 Años SV 24X375Ml Vid S/E 35%</t>
  </si>
  <si>
    <t>850PA0118I35</t>
  </si>
  <si>
    <t>12 Años PA 24X375Ml Vid S/E 35%</t>
  </si>
  <si>
    <t>850SP0118I35</t>
  </si>
  <si>
    <t>12 Años SP 24X375Ml Vid S/E 35%</t>
  </si>
  <si>
    <t>850NI3440O25</t>
  </si>
  <si>
    <t>Ultra Lite NI 6X1750Ml Vid S/E 25%</t>
  </si>
  <si>
    <t>Linea 4</t>
  </si>
  <si>
    <t>861NI3274I23</t>
  </si>
  <si>
    <t>Plata Especial Suave NI 24X360Ml PET S/E 23%</t>
  </si>
  <si>
    <t>861NI3239O23</t>
  </si>
  <si>
    <t>Plata Especial Suave NI 6X1750Ml PET 23%</t>
  </si>
  <si>
    <t>862NI2939O20</t>
  </si>
  <si>
    <t>Estrellita NI 6X1750Ml PET 20%</t>
  </si>
  <si>
    <t>CodEmpleado</t>
  </si>
  <si>
    <t>Nombre Completo</t>
  </si>
  <si>
    <t>Sexo</t>
  </si>
  <si>
    <t>Perfil</t>
  </si>
  <si>
    <t>Cédula</t>
  </si>
  <si>
    <t>INSS</t>
  </si>
  <si>
    <t>Asignacón Prspto</t>
  </si>
  <si>
    <t>FechaIng</t>
  </si>
  <si>
    <t>Activo</t>
  </si>
  <si>
    <t>Juan Aurelio Zapata Campos</t>
  </si>
  <si>
    <t>MASCULINO</t>
  </si>
  <si>
    <t>OPERARIO</t>
  </si>
  <si>
    <t>084-160685-0000X</t>
  </si>
  <si>
    <t>1654057-6</t>
  </si>
  <si>
    <t>LINEA 1</t>
  </si>
  <si>
    <t>Sonia Del Rosario Paz Melendez</t>
  </si>
  <si>
    <t>FEMENINO</t>
  </si>
  <si>
    <t>084-310867-0000R</t>
  </si>
  <si>
    <t>860806-6</t>
  </si>
  <si>
    <t>Samira Del Socorro Salazar</t>
  </si>
  <si>
    <t>084-020966-0006W</t>
  </si>
  <si>
    <t>813933-9</t>
  </si>
  <si>
    <t>Jose Martin Flores</t>
  </si>
  <si>
    <t>OPERADOR DE EQUIPOS</t>
  </si>
  <si>
    <t>084-061266-0006A</t>
  </si>
  <si>
    <t>590093-2</t>
  </si>
  <si>
    <t>Eduardo José Ulloa Medina</t>
  </si>
  <si>
    <t>084-050178-0005K</t>
  </si>
  <si>
    <t>1192699-9</t>
  </si>
  <si>
    <t>Mary Bell Real Toval</t>
  </si>
  <si>
    <t>084-260267-0002T</t>
  </si>
  <si>
    <t>1198354-7</t>
  </si>
  <si>
    <t>Juan Pablo Cordoba Benavides</t>
  </si>
  <si>
    <t>084-120881-0009J</t>
  </si>
  <si>
    <t>1188134-2</t>
  </si>
  <si>
    <t>Dominga Del Socorro Meza</t>
  </si>
  <si>
    <t>081-040868-0004E</t>
  </si>
  <si>
    <t>1542763-6</t>
  </si>
  <si>
    <t>Manuel Alexander Espinoza Coca</t>
  </si>
  <si>
    <t>081-141182-0000Q</t>
  </si>
  <si>
    <t>1368834-1</t>
  </si>
  <si>
    <t>Melvin Martín Espinoza Hernández</t>
  </si>
  <si>
    <t>084-290782-0003C</t>
  </si>
  <si>
    <t>1379023-5</t>
  </si>
  <si>
    <t>Amilkar Francisco Ramírez Narváez</t>
  </si>
  <si>
    <t>084-110471-0000A</t>
  </si>
  <si>
    <t>1358745-1</t>
  </si>
  <si>
    <t>Juan Carlos García Aguilar</t>
  </si>
  <si>
    <t>081-290682-0006W</t>
  </si>
  <si>
    <t>1508556-0</t>
  </si>
  <si>
    <t>Larry Franklin Ulloa Soza</t>
  </si>
  <si>
    <t>084-110577-0000Y</t>
  </si>
  <si>
    <t>1556450-2</t>
  </si>
  <si>
    <t>Mercedes De La Concepción Rodríguez Sánchez</t>
  </si>
  <si>
    <t>084-140483-0002C</t>
  </si>
  <si>
    <t>1605575-3</t>
  </si>
  <si>
    <t>Leslie Ivone Jarquín Ulloa</t>
  </si>
  <si>
    <t>084-130878-0002U</t>
  </si>
  <si>
    <t>1273204-3</t>
  </si>
  <si>
    <t>Soraya Elena Rodriguez Gutierrez</t>
  </si>
  <si>
    <t>084-160484-0003T</t>
  </si>
  <si>
    <t>1542778-8</t>
  </si>
  <si>
    <t>Ileana Del Socorro Soto Jaime</t>
  </si>
  <si>
    <t>084-010682-0002J</t>
  </si>
  <si>
    <t>1771260-8</t>
  </si>
  <si>
    <t>Ana Cecilia Carballo Urcuyo</t>
  </si>
  <si>
    <t>084-260772-0003A</t>
  </si>
  <si>
    <t>1772847-2</t>
  </si>
  <si>
    <t>Freddy Antonio Jarquin Mercado</t>
  </si>
  <si>
    <t>084-071277-000</t>
  </si>
  <si>
    <t>1274842-6</t>
  </si>
  <si>
    <t>Isabel Del Carmen Mendoza Garay</t>
  </si>
  <si>
    <t>084-040776-0000C</t>
  </si>
  <si>
    <t>1883365-8</t>
  </si>
  <si>
    <t>Marjorie Mercedes Caceres</t>
  </si>
  <si>
    <t>084-230670-0002W</t>
  </si>
  <si>
    <t>2491671-0</t>
  </si>
  <si>
    <t>Ana Maria Gonzalez Palma</t>
  </si>
  <si>
    <t>084-200286-0000A</t>
  </si>
  <si>
    <t>2540166-8</t>
  </si>
  <si>
    <t>Wendy Karina Estrada Munguia</t>
  </si>
  <si>
    <t>081-141193-0014V</t>
  </si>
  <si>
    <t>2695613-4</t>
  </si>
  <si>
    <t>Flor Junieth Cruz Blandon</t>
  </si>
  <si>
    <t>084-040790-0002W</t>
  </si>
  <si>
    <t>2594683-9</t>
  </si>
  <si>
    <t>Francisco Jose Guido Cortes</t>
  </si>
  <si>
    <t>084-240770-0000D</t>
  </si>
  <si>
    <t>1070666-2</t>
  </si>
  <si>
    <t>Anselmo Vidal Miranda</t>
  </si>
  <si>
    <t>084-210491-0000N</t>
  </si>
  <si>
    <t>Keidy Edelma Sarria</t>
  </si>
  <si>
    <t>081-251085-0002T</t>
  </si>
  <si>
    <t>Julio Donairo Monjarrez</t>
  </si>
  <si>
    <t>ASISTENTE ADMINISTRATIVO</t>
  </si>
  <si>
    <t>084-220574-0000P</t>
  </si>
  <si>
    <t>1515409-5</t>
  </si>
  <si>
    <t>Felix Jose Del Carmen Centeno Huete</t>
  </si>
  <si>
    <t>281-280890-0000L</t>
  </si>
  <si>
    <t>Grethel Abigail Mejia</t>
  </si>
  <si>
    <t>AUXILIAR DE CONTROL DE MATERIALES</t>
  </si>
  <si>
    <t>084-030675-0001A</t>
  </si>
  <si>
    <t>1554262-5</t>
  </si>
  <si>
    <t>Victorino Hernández Salas</t>
  </si>
  <si>
    <t>OPERADOR DE CALDERAS</t>
  </si>
  <si>
    <t>084-130279-0001y</t>
  </si>
  <si>
    <t>1552128-8</t>
  </si>
  <si>
    <t>LINEA 2</t>
  </si>
  <si>
    <t>Carla Margina Acevedo Merlo</t>
  </si>
  <si>
    <t>084-031170-0003M</t>
  </si>
  <si>
    <t>1407835-6</t>
  </si>
  <si>
    <t>Tania Lucía Cortez Lacayo</t>
  </si>
  <si>
    <t>084-020782-0001R</t>
  </si>
  <si>
    <t>1711879-8</t>
  </si>
  <si>
    <t>David Antonio Villega Bustamante</t>
  </si>
  <si>
    <t>084-180483-0001B</t>
  </si>
  <si>
    <t>1615686-1</t>
  </si>
  <si>
    <t>Nelson Eduardo Paiz Toruño</t>
  </si>
  <si>
    <t>OPERARIO DE CONTROL DE AVERIAS</t>
  </si>
  <si>
    <t>283-030280-0001H</t>
  </si>
  <si>
    <t>1669354-8</t>
  </si>
  <si>
    <t>Javier Antonio Ulloa Somarriba</t>
  </si>
  <si>
    <t>084-010986-0000E</t>
  </si>
  <si>
    <t>1883590-8</t>
  </si>
  <si>
    <t>Manuel Antonio Vargas Chavez</t>
  </si>
  <si>
    <t>084-060893-0002X</t>
  </si>
  <si>
    <t>1776593-6</t>
  </si>
  <si>
    <t>Alexander David Estrada Lopez</t>
  </si>
  <si>
    <t>081-240893-0007Q</t>
  </si>
  <si>
    <t>2545009-5</t>
  </si>
  <si>
    <t>Maria Alejandra Zapata Mendoza</t>
  </si>
  <si>
    <t>281-150879-0017L</t>
  </si>
  <si>
    <t>2130295-4</t>
  </si>
  <si>
    <t>Francis Carolina Cruz</t>
  </si>
  <si>
    <t>081-211188-0000X</t>
  </si>
  <si>
    <t>2101707-6</t>
  </si>
  <si>
    <t>Joseline Baca Garay</t>
  </si>
  <si>
    <t>084-290591-1000F</t>
  </si>
  <si>
    <t>3506666-4</t>
  </si>
  <si>
    <t>Ingri Gisell Carrion</t>
  </si>
  <si>
    <t>081-130996-0007G</t>
  </si>
  <si>
    <t>Zuleica Mariela Campos</t>
  </si>
  <si>
    <t>084-290385-0003K</t>
  </si>
  <si>
    <t>2095593-1</t>
  </si>
  <si>
    <t>Jenny Patricia Herrera</t>
  </si>
  <si>
    <t>084-012391-0001Y</t>
  </si>
  <si>
    <t>2736529-8</t>
  </si>
  <si>
    <t>Carmen Iveth Martinez</t>
  </si>
  <si>
    <t>084-050190-0004T</t>
  </si>
  <si>
    <t>2405031-5</t>
  </si>
  <si>
    <t>Nerling Carolina Meléndez Machado</t>
  </si>
  <si>
    <t>084-060586-0001Q</t>
  </si>
  <si>
    <t>1919883-3</t>
  </si>
  <si>
    <t>Nubia Elena Navarro Matus</t>
  </si>
  <si>
    <t>084-150283-0003J</t>
  </si>
  <si>
    <t>1669322-3</t>
  </si>
  <si>
    <t>Juan Carlos Mendez Prado</t>
  </si>
  <si>
    <t>084-230791-0001N</t>
  </si>
  <si>
    <t>2398743-2</t>
  </si>
  <si>
    <t>Esmeralda Veronica Medrano</t>
  </si>
  <si>
    <t>084-020383-0000J</t>
  </si>
  <si>
    <t>LINEA 4</t>
  </si>
  <si>
    <t>Ana Jeissel Diaz Prado</t>
  </si>
  <si>
    <t>084-120289-0000R</t>
  </si>
  <si>
    <t>2237914-6</t>
  </si>
  <si>
    <t>Ruth Jamilette Araica Rodriguez</t>
  </si>
  <si>
    <t>084-190581-0003X</t>
  </si>
  <si>
    <t>1704874-7</t>
  </si>
  <si>
    <t>Maria Jose Valle Velasquez</t>
  </si>
  <si>
    <t>081-180997-0007M</t>
  </si>
  <si>
    <t>4009855-8</t>
  </si>
  <si>
    <t>Yessica De Los Angeles Flores Garay</t>
  </si>
  <si>
    <t>084-100196-0001T</t>
  </si>
  <si>
    <t>3290792-4</t>
  </si>
  <si>
    <t>Karla Vanessa Salgado Alvarez</t>
  </si>
  <si>
    <t>001-301096-1001P</t>
  </si>
  <si>
    <t>Maria Guadalupe Zapata</t>
  </si>
  <si>
    <t>084-170398-1000W</t>
  </si>
  <si>
    <t>Francisco Manuel Castellon Montoya</t>
  </si>
  <si>
    <t>081-210395-0019B</t>
  </si>
  <si>
    <t>2825652-0</t>
  </si>
  <si>
    <t>Ana Maritza Olivas Vargas</t>
  </si>
  <si>
    <t>084-170685-0000A</t>
  </si>
  <si>
    <t>2016504-6</t>
  </si>
  <si>
    <t>Lázaro Ramón Marenco Herrera</t>
  </si>
  <si>
    <t>281-080187-0000N</t>
  </si>
  <si>
    <t>1807918-8</t>
  </si>
  <si>
    <t>Evert Agustín Rivas Hernández</t>
  </si>
  <si>
    <t>084-270980-0000T</t>
  </si>
  <si>
    <t>1248416-2</t>
  </si>
  <si>
    <t>Francisco Javier Palacios Espinoza</t>
  </si>
  <si>
    <t>084-250882-0000W</t>
  </si>
  <si>
    <t>1391678-5</t>
  </si>
  <si>
    <t>Faustino Antonio Meléndez Somarriba</t>
  </si>
  <si>
    <t>084-271080-0001B</t>
  </si>
  <si>
    <t>1217048-1</t>
  </si>
  <si>
    <t>Estela Ivania Terán Plazaola</t>
  </si>
  <si>
    <t>088-201170-0002S</t>
  </si>
  <si>
    <t>1188247-7</t>
  </si>
  <si>
    <t>Marcia Azucena Molina</t>
  </si>
  <si>
    <t>081-071269-0003F</t>
  </si>
  <si>
    <t>1713697-8</t>
  </si>
  <si>
    <t>Yader Antonio Méndez Espinoza</t>
  </si>
  <si>
    <t>081-230984-0000L</t>
  </si>
  <si>
    <t>1709589-3</t>
  </si>
  <si>
    <t>Jorge Luis Medina Uriarte</t>
  </si>
  <si>
    <t>084-311292-0001H</t>
  </si>
  <si>
    <t>2556358-8</t>
  </si>
  <si>
    <t>Josue Antonio Medrano Rios</t>
  </si>
  <si>
    <t>084-110898-1001S</t>
  </si>
  <si>
    <t>8459772-9</t>
  </si>
  <si>
    <t>Javier Alexander Chavarria Escoto</t>
  </si>
  <si>
    <t>081281291-0000D</t>
  </si>
  <si>
    <t>3211695-9</t>
  </si>
  <si>
    <t>Rebeca Caceres Ramirez</t>
  </si>
  <si>
    <t>084-060703-1001R</t>
  </si>
  <si>
    <t>2008334-0</t>
  </si>
  <si>
    <t>Keyling Romero Martinez</t>
  </si>
  <si>
    <t>081-220799-1006H</t>
  </si>
  <si>
    <t>3914474-4</t>
  </si>
  <si>
    <t>Marcos Antonio Mendoza</t>
  </si>
  <si>
    <t>OPERARIO DE FILTROS Y TANQUERIA</t>
  </si>
  <si>
    <t>084-221172-0000P</t>
  </si>
  <si>
    <t>1175952-0</t>
  </si>
  <si>
    <t>LINEA 6</t>
  </si>
  <si>
    <t>Luis Alberto Hernández Paz</t>
  </si>
  <si>
    <t>081-151278-0009F</t>
  </si>
  <si>
    <t>1187564-4</t>
  </si>
  <si>
    <t>Juan Francisco Silva Rodríguez</t>
  </si>
  <si>
    <t>084-171080-0005J</t>
  </si>
  <si>
    <t>1556920-6</t>
  </si>
  <si>
    <t>Carlota Claudia Navas Vallejos</t>
  </si>
  <si>
    <t>084-061166-0001N</t>
  </si>
  <si>
    <t>564684-1</t>
  </si>
  <si>
    <t>Linea 8</t>
  </si>
  <si>
    <t>Fabiana Maria Morales Martinez</t>
  </si>
  <si>
    <t>Jeaneth Del Carmen Ulloa Aguilar</t>
  </si>
  <si>
    <t>084-260482-0004C</t>
  </si>
  <si>
    <t>1661419-6</t>
  </si>
  <si>
    <t>Brenda Lizette Alvarado Gonzalez</t>
  </si>
  <si>
    <t>084-050374-0000P</t>
  </si>
  <si>
    <t>1217640-7</t>
  </si>
  <si>
    <t>Digna Rodriguez</t>
  </si>
  <si>
    <t>0842209710002J</t>
  </si>
  <si>
    <t>1872704-3</t>
  </si>
  <si>
    <t>Maria Eugenia Garcia Pastran</t>
  </si>
  <si>
    <t>281-200975-0023G</t>
  </si>
  <si>
    <t>2513680-5</t>
  </si>
  <si>
    <t>Carlos Javier Cruz Machado</t>
  </si>
  <si>
    <t>084-140790-0000X</t>
  </si>
  <si>
    <t>3014683-5</t>
  </si>
  <si>
    <t>Jackeline Velasquez</t>
  </si>
  <si>
    <t>084-130980-0002Q</t>
  </si>
  <si>
    <t>2132093-0</t>
  </si>
  <si>
    <t>Jhovania Del Socorro Agulilar Aguirre</t>
  </si>
  <si>
    <t>084-220593-0000L</t>
  </si>
  <si>
    <t>Jessica Velasquez Caceres</t>
  </si>
  <si>
    <t>081-230385-0000R</t>
  </si>
  <si>
    <t>1719070-5</t>
  </si>
  <si>
    <t>Sara Valeria Medrano Castillo</t>
  </si>
  <si>
    <t>084-250384-0000D</t>
  </si>
  <si>
    <t>Engel Enoc Barbas Siezar</t>
  </si>
  <si>
    <t>081-021100-1010H</t>
  </si>
  <si>
    <t>Axel Javier Antonio Tercero Lola</t>
  </si>
  <si>
    <t>SUPERVISOR DE LINEA</t>
  </si>
  <si>
    <t>081-291297-1001L</t>
  </si>
  <si>
    <t>Rigoberto Garcia Pravia</t>
  </si>
  <si>
    <t>084-040181-0006S</t>
  </si>
  <si>
    <t>1361002-1</t>
  </si>
  <si>
    <t>PET</t>
  </si>
  <si>
    <t>Jorge Rafael Abrego García</t>
  </si>
  <si>
    <t>084-231092-0000B</t>
  </si>
  <si>
    <t>1810110-4</t>
  </si>
  <si>
    <t>Roger Antonio Zamora Darce</t>
  </si>
  <si>
    <t>084-011275-0001K</t>
  </si>
  <si>
    <t>1597355-5</t>
  </si>
  <si>
    <t>Jorge Luis Jiménez Rojas</t>
  </si>
  <si>
    <t>081-221190-0000P</t>
  </si>
  <si>
    <t>2207259-9</t>
  </si>
  <si>
    <t>Erick Antonio Real Mairena</t>
  </si>
  <si>
    <t>084-161189-0005P</t>
  </si>
  <si>
    <t>Nelson Vidal Garcia</t>
  </si>
  <si>
    <t>281-270390-0002D</t>
  </si>
  <si>
    <t>Javier Alexander Ulloa Romero</t>
  </si>
  <si>
    <t>081-050491-0001C</t>
  </si>
  <si>
    <t>Jael Alexander Acevedo Duriez</t>
  </si>
  <si>
    <t>281-180895-0005S</t>
  </si>
  <si>
    <t>Marcel Francisco Romero Lopez</t>
  </si>
  <si>
    <t>084-281189-0000K</t>
  </si>
  <si>
    <t>2231426-0</t>
  </si>
  <si>
    <t>Elvis Danilo Perez Martinez</t>
  </si>
  <si>
    <t>089-270799-1000P</t>
  </si>
  <si>
    <t>Steven Vladimir Lacayo</t>
  </si>
  <si>
    <t>081-050802-1005W</t>
  </si>
  <si>
    <t>Yelba Elena Arce Marquez</t>
  </si>
  <si>
    <t>084-280291-0000Q</t>
  </si>
  <si>
    <t>2695260-0</t>
  </si>
  <si>
    <t>Juan Carlos Somarriba Martínez</t>
  </si>
  <si>
    <t>084-091178-0000D</t>
  </si>
  <si>
    <t>1514982-0</t>
  </si>
  <si>
    <t>Moises De Jesus Calderon Moran</t>
  </si>
  <si>
    <t>084-080981-0000W</t>
  </si>
  <si>
    <t>Jaison De Jesus Paiz Davila</t>
  </si>
  <si>
    <t>081-040696-1000W</t>
  </si>
  <si>
    <t>Vladimir Moisés Navas Vanegas</t>
  </si>
  <si>
    <t>COORDINADOR LINEAS DE ENVASADO</t>
  </si>
  <si>
    <t>084-190983-0006R</t>
  </si>
  <si>
    <t>1542822-8</t>
  </si>
  <si>
    <t>Jairo De Jesus Carrion Puerto</t>
  </si>
  <si>
    <t>084-060883-0001B</t>
  </si>
  <si>
    <t>2300278-4</t>
  </si>
  <si>
    <t>Nubia Haydee Luna</t>
  </si>
  <si>
    <t>084-090187-0003S</t>
  </si>
  <si>
    <t>Roberto Daniel Lira Munguia</t>
  </si>
  <si>
    <t>084-050691-0001S</t>
  </si>
  <si>
    <t>2506018-4</t>
  </si>
  <si>
    <t>Anielka Lizeth Cruz Blandon</t>
  </si>
  <si>
    <t>084-050589-0002X</t>
  </si>
  <si>
    <t>2146916-3</t>
  </si>
  <si>
    <t>Fabricio Antonio Espinoza</t>
  </si>
  <si>
    <t>561-130174-0001Q</t>
  </si>
  <si>
    <t>1033924-4</t>
  </si>
  <si>
    <t>José Antonio Hernández Jímenez</t>
  </si>
  <si>
    <t>COORDINADOR DE MATERIALES DE PRODUCCION</t>
  </si>
  <si>
    <t>084-191278-0001H</t>
  </si>
  <si>
    <t>1261300-1</t>
  </si>
  <si>
    <t>Allan Wilfredo Espinoza Bendith</t>
  </si>
  <si>
    <t>ANALISTA DE PROCESOS</t>
  </si>
  <si>
    <t>084-120772-0004V</t>
  </si>
  <si>
    <t>1129105-3</t>
  </si>
  <si>
    <t>Luis Alfredo Areas Ramirez</t>
  </si>
  <si>
    <t>084-040788-0001N</t>
  </si>
  <si>
    <t>2362007-0</t>
  </si>
  <si>
    <t>Moises Kevin Tellez Castellon</t>
  </si>
  <si>
    <t>084-210388-0000X</t>
  </si>
  <si>
    <t>Ramiro Jose Tellez Gonzalez</t>
  </si>
  <si>
    <t>JEFE DE EMBOTELLADO</t>
  </si>
  <si>
    <t>281-220781-0001R</t>
  </si>
  <si>
    <t>1638857-6</t>
  </si>
  <si>
    <t>Michael Fernando Narvaéz</t>
  </si>
  <si>
    <t>081-020102-1001W</t>
  </si>
  <si>
    <t>Joao Rafael Espinoza Lopez</t>
  </si>
  <si>
    <t>081-291196-0005C</t>
  </si>
  <si>
    <t>David Josue Largaespada Baquedano</t>
  </si>
  <si>
    <t>084-060706-1000Y</t>
  </si>
  <si>
    <t>Wilson David Anduray Andrades</t>
  </si>
  <si>
    <t>088-110692-0001U</t>
  </si>
  <si>
    <t>1781703-9</t>
  </si>
  <si>
    <t>José Tiburcio Baldelomar Gónzalez</t>
  </si>
  <si>
    <t>084-010206-1000F</t>
  </si>
  <si>
    <t>04485108-0</t>
  </si>
  <si>
    <t>Luis Alexander Solis Soza</t>
  </si>
  <si>
    <t>084-011005-1001P</t>
  </si>
  <si>
    <t>Ronald Antonio Solorsano Montiel</t>
  </si>
  <si>
    <t>081-250999-1003Y</t>
  </si>
  <si>
    <t>Fresia Belen Mejia Perez</t>
  </si>
  <si>
    <t>01201299-1005K</t>
  </si>
  <si>
    <t>01805112-6</t>
  </si>
  <si>
    <t>Jordy Alberto Vanegas Calero</t>
  </si>
  <si>
    <t>Indira Judith Caceres Martinez</t>
  </si>
  <si>
    <t>Eduardo David Martinez Melendez</t>
  </si>
  <si>
    <t>Emilio Jose Maradiaga Prado</t>
  </si>
  <si>
    <t>084-210100-1002C</t>
  </si>
  <si>
    <t>Tatiana Nicolle Figueroa Tijerino</t>
  </si>
  <si>
    <t>Elissa Amanda Velasquez Muñoz</t>
  </si>
  <si>
    <t>Hanan del Socorro Martinez Gomez</t>
  </si>
  <si>
    <t>Jefferson Nahun Cortez Canales</t>
  </si>
  <si>
    <t>Kevin Manuel Fletes Mayorga</t>
  </si>
  <si>
    <t>Brayan Antonio Traña Arroyo</t>
  </si>
  <si>
    <t>Shelsea Patricia Cruz Tellez</t>
  </si>
  <si>
    <t>Doris Yali Membreño Neggly</t>
  </si>
  <si>
    <t>Martha Esmeralda Tobal Diaz</t>
  </si>
  <si>
    <t>Miurys de los Angeles Guerrero Acevedo</t>
  </si>
  <si>
    <t>Scarleth Josefa Vallejos Espinoza</t>
  </si>
  <si>
    <t>Nancy Del Carmen Quiroz</t>
  </si>
  <si>
    <t>Elieth Lorena Aguilera</t>
  </si>
  <si>
    <t>Miguel Jose Alvarado Teran</t>
  </si>
  <si>
    <t>MAQUILA</t>
  </si>
  <si>
    <t>Carlos David Montes Carcamo</t>
  </si>
  <si>
    <t>Sandor Mauricio Diaz Maradiaga</t>
  </si>
  <si>
    <t>Wilson Alberto Martinez Hernandez</t>
  </si>
  <si>
    <t>Roger Junior Aguilar Castillo</t>
  </si>
  <si>
    <t>Jose Enrique Sánchez Calero</t>
  </si>
  <si>
    <t>Pedro Engel Davila Aguirre</t>
  </si>
  <si>
    <t>Oliver Esteban Mendoza Torrez</t>
  </si>
  <si>
    <t>David Antonio Ruiz Narvaez</t>
  </si>
  <si>
    <t>Ana Karelia Lopez Poveda</t>
  </si>
  <si>
    <t>Karen Stefany Joron Alvarado</t>
  </si>
  <si>
    <t>Fernanda Lisbeth Urtecho Valdivia</t>
  </si>
  <si>
    <t>Jennifer De Los Angeles Jiron Moreno</t>
  </si>
  <si>
    <t>Diana Isabel Hernandez Blanco</t>
  </si>
  <si>
    <t>Meyling Inocencia Miranda Mendoza</t>
  </si>
  <si>
    <t>Nahomy Nicoll Calderon Aburto</t>
  </si>
  <si>
    <t>Martha Raquel Gomez Gomez</t>
  </si>
  <si>
    <t>Francisco Javier Garcia Reyes</t>
  </si>
  <si>
    <t>Denise Gizell Quintana Prado</t>
  </si>
  <si>
    <t>Areison Gabriel Espinoza Briceño</t>
  </si>
  <si>
    <t>Oscar David Vanegas Kuan</t>
  </si>
  <si>
    <t>Miguel Angel Ojeda Benavides</t>
  </si>
  <si>
    <t>Dayana Massiel Mendoza</t>
  </si>
  <si>
    <t>Ashly Dayana Rosales Pastrán</t>
  </si>
  <si>
    <t>Glenda Raquel Tórrez Molina</t>
  </si>
  <si>
    <t>Grethel Catalina Mercado Sánchez</t>
  </si>
  <si>
    <t>Vanessa De La Cruz Rivas Paiz</t>
  </si>
  <si>
    <t>Jerson Rafael Jimenez</t>
  </si>
  <si>
    <t>CodSalida</t>
  </si>
  <si>
    <t>Fecha Salida</t>
  </si>
  <si>
    <t>Hora Salida</t>
  </si>
  <si>
    <t>Fecha Entrada</t>
  </si>
  <si>
    <t>Hora Entrada</t>
  </si>
  <si>
    <t>Emergencia</t>
  </si>
  <si>
    <t>Permiso</t>
  </si>
  <si>
    <t>Vacaciones</t>
  </si>
  <si>
    <t>Subsidio</t>
  </si>
  <si>
    <t>Consulta</t>
  </si>
  <si>
    <t/>
  </si>
  <si>
    <t>IdPuesto</t>
  </si>
  <si>
    <t>NombrePuesto</t>
  </si>
  <si>
    <t>SexoPreferente</t>
  </si>
  <si>
    <t>TiempoEnPuesto</t>
  </si>
  <si>
    <t>TiempoDeRecup</t>
  </si>
  <si>
    <t>PerfilRequerido</t>
  </si>
  <si>
    <t>L01001</t>
  </si>
  <si>
    <t>Supervisor</t>
  </si>
  <si>
    <t>Indistinto</t>
  </si>
  <si>
    <t>L01002</t>
  </si>
  <si>
    <t>Armadora de Cajas</t>
  </si>
  <si>
    <t>Masculino</t>
  </si>
  <si>
    <t>Operador</t>
  </si>
  <si>
    <t>La pantalla del coordinador debe tener 3 pestañas "Plan de vacaciones","HOY", "MAÑANA"</t>
  </si>
  <si>
    <t>L01003</t>
  </si>
  <si>
    <t>Lavadora Entrada</t>
  </si>
  <si>
    <t>Plan de Vacaciones</t>
  </si>
  <si>
    <t>La IA analiza los requerimientos de la semana y el pico de cobertura de puestos para sugerir vacaciones al personal que las tenga vencidas</t>
  </si>
  <si>
    <t>L01004</t>
  </si>
  <si>
    <t>Lavadora Salida</t>
  </si>
  <si>
    <t>de acuerdo a las lineas activas, haciendo un balance de masa encontrando el máximo requerimiento de personal y sugerir vacaciones o retenerlas</t>
  </si>
  <si>
    <t>L01005</t>
  </si>
  <si>
    <t>Despaletizador 1</t>
  </si>
  <si>
    <t>HOY (SEguimiento)</t>
  </si>
  <si>
    <t>Gestiona dasboard y visualiza avances, con capacidad de gestionar Personal, cuando se cambia de producto hace análisis de cobertura</t>
  </si>
  <si>
    <t>L01006</t>
  </si>
  <si>
    <t>Despaletizador 2</t>
  </si>
  <si>
    <t>MAÑANA (Programar)</t>
  </si>
  <si>
    <t>Gestiona el programa, gestiona la cobertura con el pico de requerimiento de puestos cambiante para sku</t>
  </si>
  <si>
    <t>L01007</t>
  </si>
  <si>
    <t>Revisión 1,1</t>
  </si>
  <si>
    <t>Femenino</t>
  </si>
  <si>
    <t>Asigna Supervisores</t>
  </si>
  <si>
    <t>La IA Sugiere el coordinador acepta o cambia</t>
  </si>
  <si>
    <t>L01008</t>
  </si>
  <si>
    <t>Revisión 1,2</t>
  </si>
  <si>
    <t>Asigna Operadores</t>
  </si>
  <si>
    <t>L01009</t>
  </si>
  <si>
    <t>Revisión 2</t>
  </si>
  <si>
    <t>Revisa Cobertura de puestos</t>
  </si>
  <si>
    <t>Linea Verde, acepta</t>
  </si>
  <si>
    <t>L01010</t>
  </si>
  <si>
    <t>Girar botellas 1</t>
  </si>
  <si>
    <t>Linea Roja, libera puesto fijos (Limpieza, materiales, fijos, desactiva puestos o desactiva linea)</t>
  </si>
  <si>
    <t>L01011</t>
  </si>
  <si>
    <t>Girar botellas 2</t>
  </si>
  <si>
    <t>L01012</t>
  </si>
  <si>
    <t>Girar botellas 3</t>
  </si>
  <si>
    <t>L01013</t>
  </si>
  <si>
    <t>Monoblock</t>
  </si>
  <si>
    <t>L01014</t>
  </si>
  <si>
    <t>Revisión 3,1</t>
  </si>
  <si>
    <t>L01015</t>
  </si>
  <si>
    <t>Revisión 3,2</t>
  </si>
  <si>
    <t>L01016</t>
  </si>
  <si>
    <t>Etiquetadora</t>
  </si>
  <si>
    <t>L01017</t>
  </si>
  <si>
    <t>Revisión 4</t>
  </si>
  <si>
    <t>L01018</t>
  </si>
  <si>
    <t>Mesa Revisión 1</t>
  </si>
  <si>
    <t>L01019</t>
  </si>
  <si>
    <t>Mesa Revisión 2</t>
  </si>
  <si>
    <t>L01020</t>
  </si>
  <si>
    <t>Mesa Revisión 3</t>
  </si>
  <si>
    <t>L01021</t>
  </si>
  <si>
    <t>Encajonador</t>
  </si>
  <si>
    <t>L01022</t>
  </si>
  <si>
    <t>Empaques 1</t>
  </si>
  <si>
    <t>L01023</t>
  </si>
  <si>
    <t>Empaques 2</t>
  </si>
  <si>
    <t>L01024</t>
  </si>
  <si>
    <t>Averiero vidrio</t>
  </si>
  <si>
    <t>Averiero</t>
  </si>
  <si>
    <t>L01025</t>
  </si>
  <si>
    <t>L01026</t>
  </si>
  <si>
    <t>Estibador 1</t>
  </si>
  <si>
    <t>L01027</t>
  </si>
  <si>
    <t>Estibador 2</t>
  </si>
  <si>
    <t>L01028</t>
  </si>
  <si>
    <t>Estibador 3</t>
  </si>
  <si>
    <t>L01029</t>
  </si>
  <si>
    <t>Limpieza</t>
  </si>
  <si>
    <t>L02001</t>
  </si>
  <si>
    <t>L02002</t>
  </si>
  <si>
    <t>Ingreso Botella 1</t>
  </si>
  <si>
    <t>L02003</t>
  </si>
  <si>
    <t>Ingreso Botella 2</t>
  </si>
  <si>
    <t>L02004</t>
  </si>
  <si>
    <t>Ingreso Botella 3</t>
  </si>
  <si>
    <t>L02005</t>
  </si>
  <si>
    <t>Ingreso Botella 4</t>
  </si>
  <si>
    <t>L02006</t>
  </si>
  <si>
    <t>Revisión 1</t>
  </si>
  <si>
    <t>L02007</t>
  </si>
  <si>
    <t>L02008</t>
  </si>
  <si>
    <t>L02009</t>
  </si>
  <si>
    <t>L02010</t>
  </si>
  <si>
    <t>L02011</t>
  </si>
  <si>
    <t>Revisión 3</t>
  </si>
  <si>
    <t>L02012</t>
  </si>
  <si>
    <t>L02013</t>
  </si>
  <si>
    <t>Alimentación cajas</t>
  </si>
  <si>
    <t>L02014</t>
  </si>
  <si>
    <t>Empaque 1</t>
  </si>
  <si>
    <t>L02015</t>
  </si>
  <si>
    <t>Sellador</t>
  </si>
  <si>
    <t>L02016</t>
  </si>
  <si>
    <t>L03001</t>
  </si>
  <si>
    <t>L03002</t>
  </si>
  <si>
    <t>Lavado Envase 1</t>
  </si>
  <si>
    <t>L03003</t>
  </si>
  <si>
    <t>Lavado Envase 2</t>
  </si>
  <si>
    <t>L03004</t>
  </si>
  <si>
    <t>Llenadora 1</t>
  </si>
  <si>
    <t>L03005</t>
  </si>
  <si>
    <t>Llenadora 2</t>
  </si>
  <si>
    <t>L03006</t>
  </si>
  <si>
    <t>Llenadora 3</t>
  </si>
  <si>
    <t>L03007</t>
  </si>
  <si>
    <t>Taponadores 1</t>
  </si>
  <si>
    <t>L03008</t>
  </si>
  <si>
    <t>Taponadores 2</t>
  </si>
  <si>
    <t>L03009</t>
  </si>
  <si>
    <t>Taponadores 3</t>
  </si>
  <si>
    <t>L03010</t>
  </si>
  <si>
    <t>Codificador</t>
  </si>
  <si>
    <t>L03011</t>
  </si>
  <si>
    <t>Etiquetadora 1</t>
  </si>
  <si>
    <t>L03012</t>
  </si>
  <si>
    <t>Etiquetadora 2</t>
  </si>
  <si>
    <t>L03013</t>
  </si>
  <si>
    <t>Etiquetadora 3</t>
  </si>
  <si>
    <t>L03014</t>
  </si>
  <si>
    <t>Etiquetadora 4</t>
  </si>
  <si>
    <t>L03015</t>
  </si>
  <si>
    <t>Empacadora</t>
  </si>
  <si>
    <t>L03016</t>
  </si>
  <si>
    <t>Estibador</t>
  </si>
  <si>
    <t>L04001</t>
  </si>
  <si>
    <t>L04002</t>
  </si>
  <si>
    <t>Sopladora</t>
  </si>
  <si>
    <t>L04003</t>
  </si>
  <si>
    <t>L04004</t>
  </si>
  <si>
    <t>Lampara 1</t>
  </si>
  <si>
    <t>L04005</t>
  </si>
  <si>
    <t>L04006</t>
  </si>
  <si>
    <t>L04007</t>
  </si>
  <si>
    <t>Lampara 2</t>
  </si>
  <si>
    <t>L04008</t>
  </si>
  <si>
    <t>Bailarina</t>
  </si>
  <si>
    <t>L04009</t>
  </si>
  <si>
    <t>Envolvedora</t>
  </si>
  <si>
    <t>L04010</t>
  </si>
  <si>
    <t>L04011</t>
  </si>
  <si>
    <t>L04012</t>
  </si>
  <si>
    <t>L04013</t>
  </si>
  <si>
    <t>L05001</t>
  </si>
  <si>
    <t>L05002</t>
  </si>
  <si>
    <t>Llenadora</t>
  </si>
  <si>
    <t>L05003</t>
  </si>
  <si>
    <t>Tapando</t>
  </si>
  <si>
    <t>L05004</t>
  </si>
  <si>
    <t>Taponador</t>
  </si>
  <si>
    <t>L05005</t>
  </si>
  <si>
    <t>L05006</t>
  </si>
  <si>
    <t>Ingreso de botella 1</t>
  </si>
  <si>
    <t>L05007</t>
  </si>
  <si>
    <t>Flotante Ingreso de botella 2</t>
  </si>
  <si>
    <t>L05008</t>
  </si>
  <si>
    <t>Revisión  y empaque</t>
  </si>
  <si>
    <t>Femenina</t>
  </si>
  <si>
    <t>L05009</t>
  </si>
  <si>
    <t>L05010</t>
  </si>
  <si>
    <t>Empaque</t>
  </si>
  <si>
    <t>L06001</t>
  </si>
  <si>
    <t>L06002</t>
  </si>
  <si>
    <t>Despaletizador</t>
  </si>
  <si>
    <t>L06003</t>
  </si>
  <si>
    <t>L06004</t>
  </si>
  <si>
    <t>L06005</t>
  </si>
  <si>
    <t>Genérico</t>
  </si>
  <si>
    <t>L06006</t>
  </si>
  <si>
    <t>L06007</t>
  </si>
  <si>
    <t>L06008</t>
  </si>
  <si>
    <t>L06009</t>
  </si>
  <si>
    <t>L06010</t>
  </si>
  <si>
    <t>L07001</t>
  </si>
  <si>
    <t>L07002</t>
  </si>
  <si>
    <t>Operador de filtro</t>
  </si>
  <si>
    <t>L07003</t>
  </si>
  <si>
    <t>Llenador</t>
  </si>
  <si>
    <t>L07004</t>
  </si>
  <si>
    <t>Lavador</t>
  </si>
  <si>
    <t>L01S001</t>
  </si>
  <si>
    <t>Lampara 1,2</t>
  </si>
  <si>
    <t>L01S002</t>
  </si>
  <si>
    <t>Lampara 2,2</t>
  </si>
  <si>
    <t>L01S003</t>
  </si>
  <si>
    <t>Mesa 2</t>
  </si>
  <si>
    <t>L02S001</t>
  </si>
  <si>
    <t>Alcohol</t>
  </si>
  <si>
    <t>L04S001</t>
  </si>
  <si>
    <t>Sticker 1</t>
  </si>
  <si>
    <t>L04S002</t>
  </si>
  <si>
    <t>Sticker 2</t>
  </si>
  <si>
    <t>L04S003</t>
  </si>
  <si>
    <t>Sticker 3</t>
  </si>
  <si>
    <t>L04S004</t>
  </si>
  <si>
    <t>Sticker 4</t>
  </si>
  <si>
    <t>L04S005</t>
  </si>
  <si>
    <t>Sticker 5</t>
  </si>
  <si>
    <t>L04S006</t>
  </si>
  <si>
    <t>Sticker 6</t>
  </si>
  <si>
    <t>Linea 5</t>
  </si>
  <si>
    <t>L05S001</t>
  </si>
  <si>
    <t>L05S002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</si>
</sst>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&quot;,&quot;dd&quot;/&quot;mm&quot;/&quot;yy"/>
    <numFmt numFmtId="165" formatCode="d\-mmm\-yyyy"/>
    <numFmt numFmtId="166" formatCode="d/m/yyyy"/>
    <numFmt numFmtId="167" formatCode="dd&quot;/ &quot;mmm&quot; /&quot;yy"/>
    <numFmt numFmtId="168" formatCode="dd/mm/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sz val="11"/>
      <color rgb="FF000000"/>
      <name val="Calibri"/>
    </font>
    <font>
      <b/>
      <sz val="12"/>
      <color theme="1"/>
      <name val="Arial"/>
      <scheme val="minor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0" fontId="2" fillId="2" borderId="0" xfId="0" applyFont="1" applyFill="1" applyAlignment="1"/>
    <xf numFmtId="0" fontId="2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166" fontId="3" fillId="0" borderId="0" xfId="0" applyNumberFormat="1" applyFont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3" fillId="3" borderId="0" xfId="0" applyFont="1" applyFill="1" applyAlignment="1"/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167" fontId="1" fillId="0" borderId="0" xfId="0" applyNumberFormat="1" applyFont="1"/>
    <xf numFmtId="168" fontId="1" fillId="0" borderId="0" xfId="0" applyNumberFormat="1" applyFont="1" applyAlignment="1"/>
    <xf numFmtId="20" fontId="1" fillId="0" borderId="0" xfId="0" applyNumberFormat="1" applyFont="1" applyAlignment="1"/>
    <xf numFmtId="0" fontId="1" fillId="5" borderId="0" xfId="0" applyFont="1" applyFill="1"/>
    <xf numFmtId="0" fontId="4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8"/>
  <sheetViews>
    <sheetView workbookViewId="0"/>
  </sheetViews>
  <sheetFormatPr baseColWidth="10" defaultColWidth="12.6640625" defaultRowHeight="15.75" customHeight="1" x14ac:dyDescent="0.25"/>
  <cols>
    <col min="3" max="3" width="19.77734375" customWidth="1"/>
    <col min="6" max="6" width="13.109375" customWidth="1"/>
    <col min="7" max="8" width="7.77734375" customWidth="1"/>
    <col min="9" max="9" width="6.6640625" customWidth="1"/>
    <col min="10" max="10" width="37.44140625" customWidth="1"/>
  </cols>
  <sheetData>
    <row r="1" spans="1:16" ht="23.2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P1" s="3" t="s">
        <v>12</v>
      </c>
    </row>
    <row r="2" spans="1:16" ht="13.2" x14ac:dyDescent="0.25">
      <c r="A2" s="4">
        <v>58204</v>
      </c>
      <c r="B2" s="5">
        <v>46168</v>
      </c>
      <c r="D2" s="6">
        <v>46160</v>
      </c>
      <c r="E2" s="4" t="s">
        <v>13</v>
      </c>
      <c r="F2" s="4" t="s">
        <v>14</v>
      </c>
      <c r="G2" s="7">
        <v>200</v>
      </c>
      <c r="H2" s="7">
        <v>2400</v>
      </c>
      <c r="I2" s="4" t="s">
        <v>15</v>
      </c>
      <c r="J2" s="4" t="s">
        <v>16</v>
      </c>
      <c r="K2" s="3" t="s">
        <v>17</v>
      </c>
      <c r="L2" s="3">
        <v>500</v>
      </c>
    </row>
    <row r="3" spans="1:16" ht="13.2" x14ac:dyDescent="0.25">
      <c r="A3" s="4">
        <v>58205</v>
      </c>
      <c r="B3" s="5">
        <v>46168</v>
      </c>
      <c r="C3" s="4" t="s">
        <v>18</v>
      </c>
      <c r="D3" s="6">
        <v>46160</v>
      </c>
      <c r="E3" s="4" t="s">
        <v>13</v>
      </c>
      <c r="F3" s="4" t="s">
        <v>19</v>
      </c>
      <c r="G3" s="7">
        <v>780</v>
      </c>
      <c r="H3" s="7">
        <v>9360</v>
      </c>
      <c r="I3" s="4" t="s">
        <v>15</v>
      </c>
      <c r="J3" s="4" t="s">
        <v>20</v>
      </c>
      <c r="K3" s="3" t="s">
        <v>17</v>
      </c>
      <c r="L3" s="3">
        <v>500</v>
      </c>
      <c r="N3" s="3" t="s">
        <v>17</v>
      </c>
      <c r="O3" s="3">
        <v>8</v>
      </c>
    </row>
    <row r="4" spans="1:16" ht="13.2" x14ac:dyDescent="0.25">
      <c r="B4" s="5">
        <v>46168</v>
      </c>
      <c r="C4" s="4" t="s">
        <v>21</v>
      </c>
      <c r="D4" s="6">
        <v>46160</v>
      </c>
      <c r="E4" s="4" t="s">
        <v>13</v>
      </c>
      <c r="F4" s="4" t="s">
        <v>22</v>
      </c>
      <c r="G4" s="7">
        <v>646</v>
      </c>
      <c r="H4" s="7">
        <v>7752</v>
      </c>
      <c r="I4" s="3" t="s">
        <v>23</v>
      </c>
      <c r="J4" s="4" t="s">
        <v>24</v>
      </c>
      <c r="K4" s="3" t="s">
        <v>17</v>
      </c>
      <c r="L4" s="3">
        <v>500</v>
      </c>
      <c r="N4" s="3" t="s">
        <v>25</v>
      </c>
      <c r="O4" s="3">
        <v>8</v>
      </c>
    </row>
    <row r="5" spans="1:16" ht="13.2" x14ac:dyDescent="0.25">
      <c r="A5" s="4">
        <v>58206</v>
      </c>
      <c r="B5" s="5">
        <v>46168</v>
      </c>
      <c r="D5" s="6">
        <v>46160</v>
      </c>
      <c r="E5" s="4" t="s">
        <v>13</v>
      </c>
      <c r="F5" s="4" t="s">
        <v>26</v>
      </c>
      <c r="G5" s="7">
        <v>154</v>
      </c>
      <c r="H5" s="7">
        <v>1848</v>
      </c>
      <c r="I5" s="3" t="s">
        <v>23</v>
      </c>
      <c r="J5" s="4" t="s">
        <v>27</v>
      </c>
      <c r="K5" s="3" t="s">
        <v>17</v>
      </c>
      <c r="L5" s="3">
        <v>500</v>
      </c>
      <c r="N5" s="3" t="s">
        <v>28</v>
      </c>
      <c r="O5" s="3">
        <v>12</v>
      </c>
    </row>
    <row r="6" spans="1:16" ht="13.2" x14ac:dyDescent="0.25">
      <c r="A6" s="4">
        <v>58207</v>
      </c>
      <c r="B6" s="5">
        <v>46168</v>
      </c>
      <c r="D6" s="6">
        <v>46160</v>
      </c>
      <c r="E6" s="4" t="s">
        <v>13</v>
      </c>
      <c r="F6" s="4" t="s">
        <v>29</v>
      </c>
      <c r="G6" s="7">
        <v>510</v>
      </c>
      <c r="H6" s="7">
        <v>6120</v>
      </c>
      <c r="I6" s="3" t="s">
        <v>23</v>
      </c>
      <c r="J6" s="4" t="s">
        <v>30</v>
      </c>
      <c r="K6" s="3" t="s">
        <v>17</v>
      </c>
      <c r="L6" s="3">
        <v>500</v>
      </c>
      <c r="N6" s="3" t="s">
        <v>31</v>
      </c>
      <c r="O6" s="3">
        <v>24</v>
      </c>
    </row>
    <row r="7" spans="1:16" ht="13.2" x14ac:dyDescent="0.25">
      <c r="A7" s="4">
        <v>58208</v>
      </c>
      <c r="B7" s="5">
        <v>46168</v>
      </c>
      <c r="D7" s="6">
        <v>46160</v>
      </c>
      <c r="E7" s="4" t="s">
        <v>13</v>
      </c>
      <c r="F7" s="4" t="s">
        <v>32</v>
      </c>
      <c r="G7" s="7">
        <v>485</v>
      </c>
      <c r="H7" s="7">
        <v>5820</v>
      </c>
      <c r="I7" s="4" t="s">
        <v>15</v>
      </c>
      <c r="J7" s="4" t="s">
        <v>33</v>
      </c>
      <c r="K7" s="3" t="s">
        <v>17</v>
      </c>
      <c r="L7" s="3">
        <v>500</v>
      </c>
    </row>
    <row r="8" spans="1:16" ht="13.2" x14ac:dyDescent="0.25">
      <c r="A8" s="4">
        <v>58209</v>
      </c>
      <c r="B8" s="5">
        <v>46168</v>
      </c>
      <c r="D8" s="6">
        <v>46160</v>
      </c>
      <c r="E8" s="4" t="s">
        <v>13</v>
      </c>
      <c r="F8" s="4" t="s">
        <v>34</v>
      </c>
      <c r="G8" s="7">
        <v>202</v>
      </c>
      <c r="H8" s="7">
        <v>4848</v>
      </c>
      <c r="I8" s="4" t="s">
        <v>15</v>
      </c>
      <c r="J8" s="4" t="s">
        <v>35</v>
      </c>
      <c r="K8" s="3" t="s">
        <v>17</v>
      </c>
      <c r="L8" s="3">
        <v>500</v>
      </c>
    </row>
    <row r="9" spans="1:16" ht="13.2" x14ac:dyDescent="0.25">
      <c r="A9" s="4">
        <v>58210</v>
      </c>
      <c r="B9" s="5">
        <v>46169</v>
      </c>
      <c r="C9" s="4" t="s">
        <v>36</v>
      </c>
      <c r="D9" s="6">
        <v>46160</v>
      </c>
      <c r="E9" s="4" t="s">
        <v>37</v>
      </c>
      <c r="F9" s="4" t="s">
        <v>38</v>
      </c>
      <c r="G9" s="7">
        <v>200</v>
      </c>
      <c r="H9" s="7">
        <v>1200</v>
      </c>
      <c r="I9" s="4" t="s">
        <v>15</v>
      </c>
      <c r="J9" s="4" t="s">
        <v>39</v>
      </c>
      <c r="K9" s="3" t="s">
        <v>17</v>
      </c>
      <c r="L9" s="3">
        <v>250</v>
      </c>
    </row>
    <row r="10" spans="1:16" ht="13.2" x14ac:dyDescent="0.25">
      <c r="A10" s="4">
        <v>58211</v>
      </c>
      <c r="B10" s="5">
        <v>46169</v>
      </c>
      <c r="C10" s="4" t="s">
        <v>40</v>
      </c>
      <c r="D10" s="6">
        <v>46160</v>
      </c>
      <c r="E10" s="4" t="s">
        <v>37</v>
      </c>
      <c r="F10" s="4" t="s">
        <v>41</v>
      </c>
      <c r="G10" s="7">
        <v>60</v>
      </c>
      <c r="H10" s="7">
        <v>360</v>
      </c>
      <c r="I10" s="4" t="s">
        <v>15</v>
      </c>
      <c r="J10" s="4" t="s">
        <v>42</v>
      </c>
      <c r="K10" s="3" t="s">
        <v>17</v>
      </c>
      <c r="L10" s="3">
        <v>250</v>
      </c>
    </row>
    <row r="11" spans="1:16" ht="13.2" x14ac:dyDescent="0.25">
      <c r="A11" s="4">
        <v>58212</v>
      </c>
      <c r="B11" s="5">
        <v>46169</v>
      </c>
      <c r="C11" s="4" t="s">
        <v>40</v>
      </c>
      <c r="D11" s="6">
        <v>46160</v>
      </c>
      <c r="E11" s="4" t="s">
        <v>37</v>
      </c>
      <c r="F11" s="4" t="s">
        <v>43</v>
      </c>
      <c r="G11" s="7">
        <v>55</v>
      </c>
      <c r="H11" s="7">
        <v>330</v>
      </c>
      <c r="I11" s="4" t="s">
        <v>15</v>
      </c>
      <c r="J11" s="4" t="s">
        <v>44</v>
      </c>
      <c r="K11" s="3" t="s">
        <v>17</v>
      </c>
      <c r="L11" s="3">
        <v>250</v>
      </c>
    </row>
    <row r="12" spans="1:16" ht="13.2" x14ac:dyDescent="0.25">
      <c r="A12" s="4">
        <v>58213</v>
      </c>
      <c r="B12" s="5">
        <v>46169</v>
      </c>
      <c r="C12" s="4" t="s">
        <v>45</v>
      </c>
      <c r="D12" s="6">
        <v>46160</v>
      </c>
      <c r="E12" s="4" t="s">
        <v>37</v>
      </c>
      <c r="F12" s="4" t="s">
        <v>46</v>
      </c>
      <c r="G12" s="7">
        <v>300</v>
      </c>
      <c r="H12" s="7">
        <v>3600</v>
      </c>
      <c r="I12" s="4" t="s">
        <v>15</v>
      </c>
      <c r="J12" s="4" t="s">
        <v>47</v>
      </c>
      <c r="K12" s="3" t="s">
        <v>17</v>
      </c>
      <c r="L12" s="3">
        <v>250</v>
      </c>
    </row>
    <row r="13" spans="1:16" ht="13.2" x14ac:dyDescent="0.25">
      <c r="A13" s="4">
        <v>58214</v>
      </c>
      <c r="B13" s="5">
        <v>46170</v>
      </c>
      <c r="D13" s="6">
        <v>46160</v>
      </c>
      <c r="E13" s="4" t="s">
        <v>37</v>
      </c>
      <c r="F13" s="4" t="s">
        <v>48</v>
      </c>
      <c r="G13" s="7">
        <v>500</v>
      </c>
      <c r="H13" s="7">
        <v>6000</v>
      </c>
      <c r="I13" s="4" t="s">
        <v>15</v>
      </c>
      <c r="J13" s="4" t="s">
        <v>49</v>
      </c>
      <c r="K13" s="3" t="s">
        <v>17</v>
      </c>
      <c r="L13" s="3">
        <v>250</v>
      </c>
    </row>
    <row r="14" spans="1:16" ht="13.2" x14ac:dyDescent="0.25">
      <c r="B14" s="5">
        <v>46170</v>
      </c>
      <c r="D14" s="6">
        <v>46160</v>
      </c>
      <c r="E14" s="4" t="s">
        <v>37</v>
      </c>
      <c r="F14" s="4" t="s">
        <v>50</v>
      </c>
      <c r="G14" s="7">
        <v>65</v>
      </c>
      <c r="H14" s="7">
        <v>780</v>
      </c>
      <c r="I14" s="4" t="s">
        <v>15</v>
      </c>
      <c r="J14" s="4" t="s">
        <v>51</v>
      </c>
      <c r="K14" s="3" t="s">
        <v>17</v>
      </c>
      <c r="L14" s="3">
        <v>250</v>
      </c>
    </row>
    <row r="15" spans="1:16" ht="13.2" x14ac:dyDescent="0.25">
      <c r="A15" s="4">
        <v>58216</v>
      </c>
      <c r="B15" s="5">
        <v>46170</v>
      </c>
      <c r="D15" s="6">
        <v>46160</v>
      </c>
      <c r="E15" s="4" t="s">
        <v>37</v>
      </c>
      <c r="F15" s="4" t="s">
        <v>52</v>
      </c>
      <c r="G15" s="7">
        <v>200</v>
      </c>
      <c r="H15" s="7">
        <v>2400</v>
      </c>
      <c r="I15" s="4" t="s">
        <v>15</v>
      </c>
      <c r="J15" s="4" t="s">
        <v>53</v>
      </c>
      <c r="K15" s="3" t="s">
        <v>17</v>
      </c>
      <c r="L15" s="3">
        <v>250</v>
      </c>
    </row>
    <row r="16" spans="1:16" ht="13.2" x14ac:dyDescent="0.25">
      <c r="A16" s="4">
        <v>58217</v>
      </c>
      <c r="B16" s="5">
        <v>46170</v>
      </c>
      <c r="D16" s="6">
        <v>46160</v>
      </c>
      <c r="E16" s="4" t="s">
        <v>37</v>
      </c>
      <c r="F16" s="4" t="s">
        <v>54</v>
      </c>
      <c r="G16" s="7">
        <v>90</v>
      </c>
      <c r="H16" s="7">
        <v>2160</v>
      </c>
      <c r="I16" s="4" t="s">
        <v>15</v>
      </c>
      <c r="J16" s="4" t="s">
        <v>55</v>
      </c>
      <c r="K16" s="3" t="s">
        <v>17</v>
      </c>
      <c r="L16" s="3">
        <v>250</v>
      </c>
    </row>
    <row r="17" spans="1:12" ht="13.2" x14ac:dyDescent="0.25">
      <c r="A17" s="4">
        <v>58218</v>
      </c>
      <c r="B17" s="5">
        <v>46170</v>
      </c>
      <c r="D17" s="6">
        <v>46160</v>
      </c>
      <c r="E17" s="4" t="s">
        <v>37</v>
      </c>
      <c r="F17" s="4" t="s">
        <v>56</v>
      </c>
      <c r="G17" s="7">
        <v>50</v>
      </c>
      <c r="H17" s="7">
        <v>1200</v>
      </c>
      <c r="I17" s="4" t="s">
        <v>15</v>
      </c>
      <c r="J17" s="4" t="s">
        <v>57</v>
      </c>
      <c r="K17" s="3" t="s">
        <v>17</v>
      </c>
      <c r="L17" s="3">
        <v>250</v>
      </c>
    </row>
    <row r="18" spans="1:12" ht="13.2" x14ac:dyDescent="0.25">
      <c r="A18" s="4">
        <v>58219</v>
      </c>
      <c r="B18" s="5">
        <v>46170</v>
      </c>
      <c r="D18" s="6">
        <v>46160</v>
      </c>
      <c r="E18" s="4" t="s">
        <v>37</v>
      </c>
      <c r="F18" s="4" t="s">
        <v>58</v>
      </c>
      <c r="G18" s="7">
        <v>50</v>
      </c>
      <c r="H18" s="7">
        <v>1200</v>
      </c>
      <c r="I18" s="4" t="s">
        <v>15</v>
      </c>
      <c r="J18" s="4" t="s">
        <v>59</v>
      </c>
      <c r="K18" s="3" t="s">
        <v>17</v>
      </c>
      <c r="L18" s="3">
        <v>250</v>
      </c>
    </row>
    <row r="19" spans="1:12" ht="13.2" x14ac:dyDescent="0.25">
      <c r="B19" s="5">
        <v>46170</v>
      </c>
      <c r="D19" s="6">
        <v>46160</v>
      </c>
      <c r="E19" s="4" t="s">
        <v>37</v>
      </c>
      <c r="F19" s="4" t="s">
        <v>60</v>
      </c>
      <c r="G19" s="7">
        <v>47</v>
      </c>
      <c r="H19" s="7">
        <v>1128</v>
      </c>
      <c r="I19" s="4" t="s">
        <v>15</v>
      </c>
      <c r="J19" s="4" t="s">
        <v>61</v>
      </c>
      <c r="K19" s="3" t="s">
        <v>17</v>
      </c>
      <c r="L19" s="3">
        <v>250</v>
      </c>
    </row>
    <row r="20" spans="1:12" ht="13.2" x14ac:dyDescent="0.25">
      <c r="A20" s="4">
        <v>58198</v>
      </c>
      <c r="B20" s="5">
        <v>46169</v>
      </c>
      <c r="D20" s="6">
        <v>46160</v>
      </c>
      <c r="E20" s="4" t="s">
        <v>37</v>
      </c>
      <c r="F20" s="4" t="s">
        <v>62</v>
      </c>
      <c r="G20" s="7">
        <v>1100</v>
      </c>
      <c r="H20" s="7">
        <v>6600</v>
      </c>
      <c r="I20" s="4" t="s">
        <v>15</v>
      </c>
      <c r="J20" s="4" t="s">
        <v>63</v>
      </c>
      <c r="K20" s="3" t="s">
        <v>17</v>
      </c>
      <c r="L20" s="3">
        <v>250</v>
      </c>
    </row>
    <row r="21" spans="1:12" ht="13.2" x14ac:dyDescent="0.25">
      <c r="A21" s="4">
        <v>58128</v>
      </c>
      <c r="B21" s="5">
        <v>46170</v>
      </c>
      <c r="D21" s="6">
        <v>46153</v>
      </c>
      <c r="E21" s="4" t="s">
        <v>64</v>
      </c>
      <c r="F21" s="4" t="s">
        <v>65</v>
      </c>
      <c r="G21" s="7">
        <v>33300</v>
      </c>
      <c r="H21" s="7">
        <v>799200</v>
      </c>
      <c r="I21" s="4" t="s">
        <v>15</v>
      </c>
      <c r="J21" s="4" t="s">
        <v>66</v>
      </c>
      <c r="K21" s="3" t="s">
        <v>31</v>
      </c>
      <c r="L21" s="3">
        <v>450</v>
      </c>
    </row>
    <row r="22" spans="1:12" ht="13.2" x14ac:dyDescent="0.25">
      <c r="A22" s="4">
        <v>58169</v>
      </c>
      <c r="B22" s="5">
        <v>46170</v>
      </c>
      <c r="D22" s="6">
        <v>46153</v>
      </c>
      <c r="E22" s="4" t="s">
        <v>64</v>
      </c>
      <c r="F22" s="4" t="s">
        <v>67</v>
      </c>
      <c r="G22" s="7">
        <v>1200</v>
      </c>
      <c r="H22" s="7">
        <v>7200</v>
      </c>
      <c r="I22" s="4" t="s">
        <v>15</v>
      </c>
      <c r="J22" s="4" t="s">
        <v>68</v>
      </c>
      <c r="K22" s="3" t="s">
        <v>31</v>
      </c>
      <c r="L22" s="3">
        <v>700</v>
      </c>
    </row>
    <row r="23" spans="1:12" ht="13.2" x14ac:dyDescent="0.25">
      <c r="A23" s="4">
        <v>58168</v>
      </c>
      <c r="B23" s="5">
        <v>46170</v>
      </c>
      <c r="D23" s="6">
        <v>46132</v>
      </c>
      <c r="E23" s="4" t="s">
        <v>64</v>
      </c>
      <c r="F23" s="4" t="s">
        <v>69</v>
      </c>
      <c r="G23" s="7">
        <v>4000</v>
      </c>
      <c r="H23" s="7">
        <v>24000</v>
      </c>
      <c r="I23" s="4" t="s">
        <v>15</v>
      </c>
      <c r="J23" s="4" t="s">
        <v>70</v>
      </c>
      <c r="K23" s="3" t="s">
        <v>31</v>
      </c>
      <c r="L23" s="3">
        <v>800</v>
      </c>
    </row>
    <row r="27" spans="1:12" ht="13.2" x14ac:dyDescent="0.25">
      <c r="B27" s="5"/>
      <c r="D27" s="6"/>
      <c r="G27" s="7"/>
      <c r="H27" s="7"/>
    </row>
    <row r="28" spans="1:12" ht="13.2" x14ac:dyDescent="0.25">
      <c r="B28" s="5"/>
      <c r="D28" s="6"/>
      <c r="G28" s="7"/>
      <c r="H28" s="7"/>
    </row>
    <row r="29" spans="1:12" ht="13.2" x14ac:dyDescent="0.25">
      <c r="B29" s="5"/>
      <c r="D29" s="6"/>
      <c r="G29" s="7"/>
      <c r="H29" s="7"/>
    </row>
    <row r="30" spans="1:12" ht="13.2" x14ac:dyDescent="0.25">
      <c r="B30" s="5"/>
      <c r="D30" s="6"/>
      <c r="G30" s="7"/>
      <c r="H30" s="7"/>
    </row>
    <row r="31" spans="1:12" ht="13.2" x14ac:dyDescent="0.25">
      <c r="B31" s="5"/>
      <c r="D31" s="6"/>
      <c r="G31" s="7"/>
      <c r="H31" s="7"/>
    </row>
    <row r="32" spans="1:12" ht="13.2" x14ac:dyDescent="0.25">
      <c r="B32" s="5"/>
      <c r="D32" s="6"/>
      <c r="G32" s="7"/>
      <c r="H32" s="7"/>
    </row>
    <row r="33" spans="2:8" ht="13.2" x14ac:dyDescent="0.25">
      <c r="B33" s="5"/>
      <c r="D33" s="6"/>
      <c r="G33" s="7"/>
      <c r="H33" s="7"/>
    </row>
    <row r="34" spans="2:8" ht="13.2" x14ac:dyDescent="0.25">
      <c r="B34" s="5"/>
      <c r="D34" s="6"/>
      <c r="G34" s="7"/>
      <c r="H34" s="7"/>
    </row>
    <row r="35" spans="2:8" ht="13.2" x14ac:dyDescent="0.25">
      <c r="B35" s="5"/>
      <c r="D35" s="6"/>
      <c r="G35" s="7"/>
      <c r="H35" s="7"/>
    </row>
    <row r="36" spans="2:8" ht="13.2" x14ac:dyDescent="0.25">
      <c r="B36" s="5"/>
      <c r="D36" s="6"/>
      <c r="G36" s="7"/>
      <c r="H36" s="7"/>
    </row>
    <row r="37" spans="2:8" ht="13.2" x14ac:dyDescent="0.25">
      <c r="B37" s="5"/>
      <c r="D37" s="6"/>
      <c r="G37" s="7"/>
      <c r="H37" s="7"/>
    </row>
    <row r="38" spans="2:8" ht="13.2" x14ac:dyDescent="0.25">
      <c r="B38" s="5"/>
      <c r="D38" s="6"/>
      <c r="G38" s="7"/>
      <c r="H38" s="7"/>
    </row>
    <row r="39" spans="2:8" ht="13.2" x14ac:dyDescent="0.25">
      <c r="B39" s="5"/>
      <c r="D39" s="6"/>
      <c r="G39" s="7"/>
      <c r="H39" s="7"/>
    </row>
    <row r="40" spans="2:8" ht="13.2" x14ac:dyDescent="0.25">
      <c r="B40" s="5"/>
      <c r="D40" s="6"/>
      <c r="G40" s="7"/>
      <c r="H40" s="7"/>
    </row>
    <row r="41" spans="2:8" ht="13.2" x14ac:dyDescent="0.25">
      <c r="B41" s="5"/>
      <c r="D41" s="6"/>
      <c r="G41" s="7"/>
      <c r="H41" s="7"/>
    </row>
    <row r="42" spans="2:8" ht="13.2" x14ac:dyDescent="0.25">
      <c r="B42" s="5"/>
      <c r="D42" s="6"/>
      <c r="G42" s="7"/>
      <c r="H42" s="7"/>
    </row>
    <row r="43" spans="2:8" ht="13.2" x14ac:dyDescent="0.25">
      <c r="B43" s="5"/>
      <c r="D43" s="6"/>
      <c r="G43" s="7"/>
      <c r="H43" s="7"/>
    </row>
    <row r="44" spans="2:8" ht="13.2" x14ac:dyDescent="0.25">
      <c r="B44" s="5"/>
      <c r="D44" s="6"/>
      <c r="G44" s="7"/>
      <c r="H44" s="7"/>
    </row>
    <row r="45" spans="2:8" ht="13.2" x14ac:dyDescent="0.25">
      <c r="B45" s="5"/>
      <c r="D45" s="6"/>
      <c r="G45" s="7"/>
      <c r="H45" s="7"/>
    </row>
    <row r="46" spans="2:8" ht="13.2" x14ac:dyDescent="0.25">
      <c r="B46" s="5"/>
      <c r="D46" s="6"/>
      <c r="G46" s="7"/>
      <c r="H46" s="7"/>
    </row>
    <row r="47" spans="2:8" ht="13.2" x14ac:dyDescent="0.25">
      <c r="B47" s="5"/>
      <c r="D47" s="6"/>
      <c r="G47" s="7"/>
      <c r="H47" s="7"/>
    </row>
    <row r="48" spans="2:8" ht="13.2" x14ac:dyDescent="0.25">
      <c r="B48" s="5"/>
      <c r="D48" s="6"/>
      <c r="G48" s="7"/>
      <c r="H4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5"/>
  <sheetViews>
    <sheetView workbookViewId="0"/>
  </sheetViews>
  <sheetFormatPr baseColWidth="10" defaultColWidth="12.6640625" defaultRowHeight="15.75" customHeight="1" x14ac:dyDescent="0.25"/>
  <cols>
    <col min="2" max="2" width="36.21875" customWidth="1"/>
    <col min="4" max="4" width="37.77734375" customWidth="1"/>
    <col min="5" max="5" width="15.88671875" customWidth="1"/>
    <col min="8" max="8" width="20" customWidth="1"/>
  </cols>
  <sheetData>
    <row r="1" spans="1:10" ht="15.75" customHeight="1" x14ac:dyDescent="0.3">
      <c r="A1" s="8" t="s">
        <v>71</v>
      </c>
      <c r="B1" s="8" t="s">
        <v>72</v>
      </c>
      <c r="C1" s="8" t="s">
        <v>73</v>
      </c>
      <c r="D1" s="8" t="s">
        <v>74</v>
      </c>
      <c r="E1" s="8" t="s">
        <v>75</v>
      </c>
      <c r="F1" s="8" t="s">
        <v>76</v>
      </c>
      <c r="G1" s="9" t="str">
        <f ca="1">IFERROR(__xludf.DUMMYFUNCTION("{ ""FechaNac""; MAP(E2:E995, LAMBDA(celda, IF(celda = """", """", IFERROR( LET( texto_fecha, REGEXEXTRACT(celda, ""-(\d+)-""), dia, VALUE(LEFT(texto_fecha, 2)), mes, VALUE(MID(texto_fecha, 3, 2)), anio, VALUE(RIGHT(texto_fecha, 2)) + IF(VALUE(RIGHT(texto_"&amp;"fecha, 2)) &gt; 50, 1900, 2000), DATE(anio, mes, dia) ), """" ) ) )) }"),"FechaNac")</f>
        <v>FechaNac</v>
      </c>
      <c r="H1" s="8" t="s">
        <v>77</v>
      </c>
      <c r="I1" s="8" t="s">
        <v>78</v>
      </c>
      <c r="J1" s="8" t="s">
        <v>79</v>
      </c>
    </row>
    <row r="2" spans="1:10" ht="15.75" customHeight="1" x14ac:dyDescent="0.3">
      <c r="A2" s="10">
        <v>3558</v>
      </c>
      <c r="B2" s="11" t="s">
        <v>80</v>
      </c>
      <c r="C2" s="10" t="s">
        <v>81</v>
      </c>
      <c r="D2" s="10" t="s">
        <v>82</v>
      </c>
      <c r="E2" s="12" t="s">
        <v>83</v>
      </c>
      <c r="F2" s="10" t="s">
        <v>84</v>
      </c>
      <c r="G2" s="13">
        <f ca="1">IFERROR(__xludf.DUMMYFUNCTION("""COMPUTED_VALUE"""),31214)</f>
        <v>31214</v>
      </c>
      <c r="H2" s="10" t="s">
        <v>85</v>
      </c>
      <c r="I2" s="13">
        <v>45804</v>
      </c>
      <c r="J2" s="3" t="b">
        <v>1</v>
      </c>
    </row>
    <row r="3" spans="1:10" ht="15.75" customHeight="1" x14ac:dyDescent="0.3">
      <c r="A3" s="10">
        <v>11741</v>
      </c>
      <c r="B3" s="11" t="s">
        <v>86</v>
      </c>
      <c r="C3" s="10" t="s">
        <v>87</v>
      </c>
      <c r="D3" s="10" t="s">
        <v>82</v>
      </c>
      <c r="E3" s="12" t="s">
        <v>88</v>
      </c>
      <c r="F3" s="10" t="s">
        <v>89</v>
      </c>
      <c r="G3" s="14">
        <f ca="1">IFERROR(__xludf.DUMMYFUNCTION("""COMPUTED_VALUE"""),24715)</f>
        <v>24715</v>
      </c>
      <c r="H3" s="10" t="s">
        <v>85</v>
      </c>
      <c r="I3" s="13">
        <v>45804</v>
      </c>
      <c r="J3" s="3" t="b">
        <v>1</v>
      </c>
    </row>
    <row r="4" spans="1:10" ht="15.75" customHeight="1" x14ac:dyDescent="0.3">
      <c r="A4" s="10">
        <v>23972</v>
      </c>
      <c r="B4" s="11" t="s">
        <v>90</v>
      </c>
      <c r="C4" s="10" t="s">
        <v>87</v>
      </c>
      <c r="D4" s="10" t="s">
        <v>82</v>
      </c>
      <c r="E4" s="12" t="s">
        <v>91</v>
      </c>
      <c r="F4" s="10" t="s">
        <v>92</v>
      </c>
      <c r="G4" s="14">
        <f ca="1">IFERROR(__xludf.DUMMYFUNCTION("""COMPUTED_VALUE"""),24352)</f>
        <v>24352</v>
      </c>
      <c r="H4" s="10" t="s">
        <v>85</v>
      </c>
      <c r="I4" s="13">
        <v>45804</v>
      </c>
      <c r="J4" s="3" t="b">
        <v>1</v>
      </c>
    </row>
    <row r="5" spans="1:10" ht="15.75" customHeight="1" x14ac:dyDescent="0.3">
      <c r="A5" s="10">
        <v>97983</v>
      </c>
      <c r="B5" s="11" t="s">
        <v>93</v>
      </c>
      <c r="C5" s="10" t="s">
        <v>81</v>
      </c>
      <c r="D5" s="10" t="s">
        <v>94</v>
      </c>
      <c r="E5" s="12" t="s">
        <v>95</v>
      </c>
      <c r="F5" s="10" t="s">
        <v>96</v>
      </c>
      <c r="G5" s="14">
        <f ca="1">IFERROR(__xludf.DUMMYFUNCTION("""COMPUTED_VALUE"""),24447)</f>
        <v>24447</v>
      </c>
      <c r="H5" s="10" t="s">
        <v>85</v>
      </c>
      <c r="I5" s="13">
        <v>45804</v>
      </c>
      <c r="J5" s="3" t="b">
        <v>1</v>
      </c>
    </row>
    <row r="6" spans="1:10" ht="15.75" customHeight="1" x14ac:dyDescent="0.3">
      <c r="A6" s="10">
        <v>98328</v>
      </c>
      <c r="B6" s="11" t="s">
        <v>97</v>
      </c>
      <c r="C6" s="10" t="s">
        <v>81</v>
      </c>
      <c r="D6" s="10" t="s">
        <v>82</v>
      </c>
      <c r="E6" s="12" t="s">
        <v>98</v>
      </c>
      <c r="F6" s="10" t="s">
        <v>99</v>
      </c>
      <c r="G6" s="14">
        <f ca="1">IFERROR(__xludf.DUMMYFUNCTION("""COMPUTED_VALUE"""),28495)</f>
        <v>28495</v>
      </c>
      <c r="H6" s="10" t="s">
        <v>85</v>
      </c>
      <c r="I6" s="13">
        <v>45804</v>
      </c>
      <c r="J6" s="3" t="b">
        <v>1</v>
      </c>
    </row>
    <row r="7" spans="1:10" ht="15.75" customHeight="1" x14ac:dyDescent="0.3">
      <c r="A7" s="10">
        <v>98366</v>
      </c>
      <c r="B7" s="11" t="s">
        <v>100</v>
      </c>
      <c r="C7" s="10" t="s">
        <v>87</v>
      </c>
      <c r="D7" s="10" t="s">
        <v>82</v>
      </c>
      <c r="E7" s="12" t="s">
        <v>101</v>
      </c>
      <c r="F7" s="10" t="s">
        <v>102</v>
      </c>
      <c r="G7" s="14">
        <f ca="1">IFERROR(__xludf.DUMMYFUNCTION("""COMPUTED_VALUE"""),24529)</f>
        <v>24529</v>
      </c>
      <c r="H7" s="10" t="s">
        <v>85</v>
      </c>
      <c r="I7" s="13">
        <v>45804</v>
      </c>
      <c r="J7" s="3" t="b">
        <v>1</v>
      </c>
    </row>
    <row r="8" spans="1:10" ht="15.75" customHeight="1" x14ac:dyDescent="0.3">
      <c r="A8" s="10">
        <v>98367</v>
      </c>
      <c r="B8" s="11" t="s">
        <v>103</v>
      </c>
      <c r="C8" s="10" t="s">
        <v>81</v>
      </c>
      <c r="D8" s="10" t="s">
        <v>94</v>
      </c>
      <c r="E8" s="12" t="s">
        <v>104</v>
      </c>
      <c r="F8" s="10" t="s">
        <v>105</v>
      </c>
      <c r="G8" s="14">
        <f ca="1">IFERROR(__xludf.DUMMYFUNCTION("""COMPUTED_VALUE"""),29810)</f>
        <v>29810</v>
      </c>
      <c r="H8" s="10" t="s">
        <v>85</v>
      </c>
      <c r="I8" s="13">
        <v>45804</v>
      </c>
      <c r="J8" s="3" t="b">
        <v>1</v>
      </c>
    </row>
    <row r="9" spans="1:10" ht="15.75" customHeight="1" x14ac:dyDescent="0.3">
      <c r="A9" s="10">
        <v>98429</v>
      </c>
      <c r="B9" s="11" t="s">
        <v>106</v>
      </c>
      <c r="C9" s="10" t="s">
        <v>87</v>
      </c>
      <c r="D9" s="10" t="s">
        <v>82</v>
      </c>
      <c r="E9" s="12" t="s">
        <v>107</v>
      </c>
      <c r="F9" s="10" t="s">
        <v>108</v>
      </c>
      <c r="G9" s="14">
        <f ca="1">IFERROR(__xludf.DUMMYFUNCTION("""COMPUTED_VALUE"""),25054)</f>
        <v>25054</v>
      </c>
      <c r="H9" s="10" t="s">
        <v>85</v>
      </c>
      <c r="I9" s="13">
        <v>45804</v>
      </c>
      <c r="J9" s="3" t="b">
        <v>1</v>
      </c>
    </row>
    <row r="10" spans="1:10" ht="15.75" customHeight="1" x14ac:dyDescent="0.3">
      <c r="A10" s="10">
        <v>98436</v>
      </c>
      <c r="B10" s="11" t="s">
        <v>109</v>
      </c>
      <c r="C10" s="10" t="s">
        <v>81</v>
      </c>
      <c r="D10" s="10" t="s">
        <v>94</v>
      </c>
      <c r="E10" s="12" t="s">
        <v>110</v>
      </c>
      <c r="F10" s="10" t="s">
        <v>111</v>
      </c>
      <c r="G10" s="14">
        <f ca="1">IFERROR(__xludf.DUMMYFUNCTION("""COMPUTED_VALUE"""),30269)</f>
        <v>30269</v>
      </c>
      <c r="H10" s="10" t="s">
        <v>85</v>
      </c>
      <c r="I10" s="13">
        <v>45804</v>
      </c>
      <c r="J10" s="3" t="b">
        <v>1</v>
      </c>
    </row>
    <row r="11" spans="1:10" ht="15.75" customHeight="1" x14ac:dyDescent="0.3">
      <c r="A11" s="10">
        <v>98477</v>
      </c>
      <c r="B11" s="11" t="s">
        <v>112</v>
      </c>
      <c r="C11" s="10" t="s">
        <v>81</v>
      </c>
      <c r="D11" s="10" t="s">
        <v>94</v>
      </c>
      <c r="E11" s="12" t="s">
        <v>113</v>
      </c>
      <c r="F11" s="10" t="s">
        <v>114</v>
      </c>
      <c r="G11" s="14">
        <f ca="1">IFERROR(__xludf.DUMMYFUNCTION("""COMPUTED_VALUE"""),30161)</f>
        <v>30161</v>
      </c>
      <c r="H11" s="10" t="s">
        <v>85</v>
      </c>
      <c r="I11" s="13">
        <v>45804</v>
      </c>
      <c r="J11" s="3" t="b">
        <v>1</v>
      </c>
    </row>
    <row r="12" spans="1:10" ht="15.75" customHeight="1" x14ac:dyDescent="0.3">
      <c r="A12" s="10">
        <v>98496</v>
      </c>
      <c r="B12" s="11" t="s">
        <v>115</v>
      </c>
      <c r="C12" s="10" t="s">
        <v>81</v>
      </c>
      <c r="D12" s="10" t="s">
        <v>94</v>
      </c>
      <c r="E12" s="12" t="s">
        <v>116</v>
      </c>
      <c r="F12" s="10" t="s">
        <v>117</v>
      </c>
      <c r="G12" s="14">
        <f ca="1">IFERROR(__xludf.DUMMYFUNCTION("""COMPUTED_VALUE"""),26034)</f>
        <v>26034</v>
      </c>
      <c r="H12" s="10" t="s">
        <v>85</v>
      </c>
      <c r="I12" s="13">
        <v>45804</v>
      </c>
      <c r="J12" s="3" t="b">
        <v>1</v>
      </c>
    </row>
    <row r="13" spans="1:10" ht="15.75" customHeight="1" x14ac:dyDescent="0.3">
      <c r="A13" s="10">
        <v>98501</v>
      </c>
      <c r="B13" s="11" t="s">
        <v>118</v>
      </c>
      <c r="C13" s="10" t="s">
        <v>81</v>
      </c>
      <c r="D13" s="10" t="s">
        <v>94</v>
      </c>
      <c r="E13" s="12" t="s">
        <v>119</v>
      </c>
      <c r="F13" s="10" t="s">
        <v>120</v>
      </c>
      <c r="G13" s="14">
        <f ca="1">IFERROR(__xludf.DUMMYFUNCTION("""COMPUTED_VALUE"""),30131)</f>
        <v>30131</v>
      </c>
      <c r="H13" s="10" t="s">
        <v>85</v>
      </c>
      <c r="I13" s="13">
        <v>45804</v>
      </c>
      <c r="J13" s="3" t="b">
        <v>1</v>
      </c>
    </row>
    <row r="14" spans="1:10" ht="15.75" customHeight="1" x14ac:dyDescent="0.3">
      <c r="A14" s="10">
        <v>98517</v>
      </c>
      <c r="B14" s="11" t="s">
        <v>121</v>
      </c>
      <c r="C14" s="10" t="s">
        <v>81</v>
      </c>
      <c r="D14" s="10" t="s">
        <v>94</v>
      </c>
      <c r="E14" s="12" t="s">
        <v>122</v>
      </c>
      <c r="F14" s="10" t="s">
        <v>123</v>
      </c>
      <c r="G14" s="14">
        <f ca="1">IFERROR(__xludf.DUMMYFUNCTION("""COMPUTED_VALUE"""),28256)</f>
        <v>28256</v>
      </c>
      <c r="H14" s="10" t="s">
        <v>85</v>
      </c>
      <c r="I14" s="13">
        <v>45804</v>
      </c>
      <c r="J14" s="3" t="b">
        <v>1</v>
      </c>
    </row>
    <row r="15" spans="1:10" ht="15.75" customHeight="1" x14ac:dyDescent="0.3">
      <c r="A15" s="10">
        <v>98533</v>
      </c>
      <c r="B15" s="11" t="s">
        <v>124</v>
      </c>
      <c r="C15" s="10" t="s">
        <v>87</v>
      </c>
      <c r="D15" s="10" t="s">
        <v>82</v>
      </c>
      <c r="E15" s="12" t="s">
        <v>125</v>
      </c>
      <c r="F15" s="10" t="s">
        <v>126</v>
      </c>
      <c r="G15" s="14">
        <f ca="1">IFERROR(__xludf.DUMMYFUNCTION("""COMPUTED_VALUE"""),30420)</f>
        <v>30420</v>
      </c>
      <c r="H15" s="10" t="s">
        <v>85</v>
      </c>
      <c r="I15" s="13">
        <v>45804</v>
      </c>
      <c r="J15" s="3" t="b">
        <v>1</v>
      </c>
    </row>
    <row r="16" spans="1:10" ht="15.75" customHeight="1" x14ac:dyDescent="0.3">
      <c r="A16" s="10">
        <v>98552</v>
      </c>
      <c r="B16" s="11" t="s">
        <v>127</v>
      </c>
      <c r="C16" s="10" t="s">
        <v>87</v>
      </c>
      <c r="D16" s="10" t="s">
        <v>82</v>
      </c>
      <c r="E16" s="12" t="s">
        <v>128</v>
      </c>
      <c r="F16" s="10" t="s">
        <v>129</v>
      </c>
      <c r="G16" s="14">
        <f ca="1">IFERROR(__xludf.DUMMYFUNCTION("""COMPUTED_VALUE"""),28715)</f>
        <v>28715</v>
      </c>
      <c r="H16" s="10" t="s">
        <v>85</v>
      </c>
      <c r="I16" s="13">
        <v>45804</v>
      </c>
      <c r="J16" s="3" t="b">
        <v>1</v>
      </c>
    </row>
    <row r="17" spans="1:10" ht="15.75" customHeight="1" x14ac:dyDescent="0.3">
      <c r="A17" s="10">
        <v>98981</v>
      </c>
      <c r="B17" s="11" t="s">
        <v>130</v>
      </c>
      <c r="C17" s="10" t="s">
        <v>87</v>
      </c>
      <c r="D17" s="10" t="s">
        <v>82</v>
      </c>
      <c r="E17" s="12" t="s">
        <v>131</v>
      </c>
      <c r="F17" s="10" t="s">
        <v>132</v>
      </c>
      <c r="G17" s="14">
        <f ca="1">IFERROR(__xludf.DUMMYFUNCTION("""COMPUTED_VALUE"""),30788)</f>
        <v>30788</v>
      </c>
      <c r="H17" s="10" t="s">
        <v>85</v>
      </c>
      <c r="I17" s="13">
        <v>45804</v>
      </c>
      <c r="J17" s="3" t="b">
        <v>1</v>
      </c>
    </row>
    <row r="18" spans="1:10" ht="15.75" customHeight="1" x14ac:dyDescent="0.3">
      <c r="A18" s="10">
        <v>99072</v>
      </c>
      <c r="B18" s="11" t="s">
        <v>133</v>
      </c>
      <c r="C18" s="10" t="s">
        <v>87</v>
      </c>
      <c r="D18" s="10" t="s">
        <v>82</v>
      </c>
      <c r="E18" s="12" t="s">
        <v>134</v>
      </c>
      <c r="F18" s="10" t="s">
        <v>135</v>
      </c>
      <c r="G18" s="14">
        <f ca="1">IFERROR(__xludf.DUMMYFUNCTION("""COMPUTED_VALUE"""),30103)</f>
        <v>30103</v>
      </c>
      <c r="H18" s="10" t="s">
        <v>85</v>
      </c>
      <c r="I18" s="13">
        <v>45804</v>
      </c>
      <c r="J18" s="3" t="b">
        <v>1</v>
      </c>
    </row>
    <row r="19" spans="1:10" ht="15.75" customHeight="1" x14ac:dyDescent="0.3">
      <c r="A19" s="10">
        <v>99092</v>
      </c>
      <c r="B19" s="11" t="s">
        <v>136</v>
      </c>
      <c r="C19" s="10" t="s">
        <v>87</v>
      </c>
      <c r="D19" s="10" t="s">
        <v>82</v>
      </c>
      <c r="E19" s="12" t="s">
        <v>137</v>
      </c>
      <c r="F19" s="10" t="s">
        <v>138</v>
      </c>
      <c r="G19" s="14">
        <f ca="1">IFERROR(__xludf.DUMMYFUNCTION("""COMPUTED_VALUE"""),26506)</f>
        <v>26506</v>
      </c>
      <c r="H19" s="10" t="s">
        <v>85</v>
      </c>
      <c r="I19" s="13">
        <v>45804</v>
      </c>
      <c r="J19" s="3" t="b">
        <v>1</v>
      </c>
    </row>
    <row r="20" spans="1:10" ht="15.75" customHeight="1" x14ac:dyDescent="0.3">
      <c r="A20" s="10">
        <v>99172</v>
      </c>
      <c r="B20" s="11" t="s">
        <v>139</v>
      </c>
      <c r="C20" s="10" t="s">
        <v>81</v>
      </c>
      <c r="D20" s="10" t="s">
        <v>82</v>
      </c>
      <c r="E20" s="12" t="s">
        <v>140</v>
      </c>
      <c r="F20" s="10" t="s">
        <v>141</v>
      </c>
      <c r="G20" s="14">
        <f ca="1">IFERROR(__xludf.DUMMYFUNCTION("""COMPUTED_VALUE"""),28466)</f>
        <v>28466</v>
      </c>
      <c r="H20" s="10" t="s">
        <v>85</v>
      </c>
      <c r="I20" s="13">
        <v>45804</v>
      </c>
      <c r="J20" s="3" t="b">
        <v>1</v>
      </c>
    </row>
    <row r="21" spans="1:10" ht="15.75" customHeight="1" x14ac:dyDescent="0.3">
      <c r="A21" s="10">
        <v>99190</v>
      </c>
      <c r="B21" s="11" t="s">
        <v>142</v>
      </c>
      <c r="C21" s="10" t="s">
        <v>87</v>
      </c>
      <c r="D21" s="10" t="s">
        <v>82</v>
      </c>
      <c r="E21" s="12" t="s">
        <v>143</v>
      </c>
      <c r="F21" s="10" t="s">
        <v>144</v>
      </c>
      <c r="G21" s="14">
        <f ca="1">IFERROR(__xludf.DUMMYFUNCTION("""COMPUTED_VALUE"""),27945)</f>
        <v>27945</v>
      </c>
      <c r="H21" s="10" t="s">
        <v>85</v>
      </c>
      <c r="I21" s="13">
        <v>45804</v>
      </c>
      <c r="J21" s="3" t="b">
        <v>1</v>
      </c>
    </row>
    <row r="22" spans="1:10" ht="15.75" customHeight="1" x14ac:dyDescent="0.3">
      <c r="A22" s="10">
        <v>99705</v>
      </c>
      <c r="B22" s="11" t="s">
        <v>145</v>
      </c>
      <c r="C22" s="10" t="s">
        <v>87</v>
      </c>
      <c r="D22" s="10" t="s">
        <v>82</v>
      </c>
      <c r="E22" s="12" t="s">
        <v>146</v>
      </c>
      <c r="F22" s="10" t="s">
        <v>147</v>
      </c>
      <c r="G22" s="14">
        <f ca="1">IFERROR(__xludf.DUMMYFUNCTION("""COMPUTED_VALUE"""),25742)</f>
        <v>25742</v>
      </c>
      <c r="H22" s="10" t="s">
        <v>85</v>
      </c>
      <c r="I22" s="13">
        <v>45804</v>
      </c>
      <c r="J22" s="3" t="b">
        <v>1</v>
      </c>
    </row>
    <row r="23" spans="1:10" ht="15.75" customHeight="1" x14ac:dyDescent="0.3">
      <c r="A23" s="10">
        <v>351499</v>
      </c>
      <c r="B23" s="11" t="s">
        <v>148</v>
      </c>
      <c r="C23" s="10" t="s">
        <v>87</v>
      </c>
      <c r="D23" s="10" t="s">
        <v>82</v>
      </c>
      <c r="E23" s="12" t="s">
        <v>149</v>
      </c>
      <c r="F23" s="10" t="s">
        <v>150</v>
      </c>
      <c r="G23" s="14">
        <f ca="1">IFERROR(__xludf.DUMMYFUNCTION("""COMPUTED_VALUE"""),31463)</f>
        <v>31463</v>
      </c>
      <c r="H23" s="10" t="s">
        <v>85</v>
      </c>
      <c r="I23" s="13">
        <v>45804</v>
      </c>
      <c r="J23" s="3" t="b">
        <v>1</v>
      </c>
    </row>
    <row r="24" spans="1:10" ht="15.75" customHeight="1" x14ac:dyDescent="0.3">
      <c r="A24" s="10">
        <v>351507</v>
      </c>
      <c r="B24" s="11" t="s">
        <v>151</v>
      </c>
      <c r="C24" s="10" t="s">
        <v>87</v>
      </c>
      <c r="D24" s="10" t="s">
        <v>82</v>
      </c>
      <c r="E24" s="12" t="s">
        <v>152</v>
      </c>
      <c r="F24" s="10" t="s">
        <v>153</v>
      </c>
      <c r="G24" s="14">
        <f ca="1">IFERROR(__xludf.DUMMYFUNCTION("""COMPUTED_VALUE"""),34287)</f>
        <v>34287</v>
      </c>
      <c r="H24" s="10" t="s">
        <v>85</v>
      </c>
      <c r="I24" s="13">
        <v>45804</v>
      </c>
      <c r="J24" s="3" t="b">
        <v>1</v>
      </c>
    </row>
    <row r="25" spans="1:10" ht="15.75" customHeight="1" x14ac:dyDescent="0.3">
      <c r="A25" s="10">
        <v>351510</v>
      </c>
      <c r="B25" s="11" t="s">
        <v>154</v>
      </c>
      <c r="C25" s="10" t="s">
        <v>87</v>
      </c>
      <c r="D25" s="10" t="s">
        <v>82</v>
      </c>
      <c r="E25" s="12" t="s">
        <v>155</v>
      </c>
      <c r="F25" s="10" t="s">
        <v>156</v>
      </c>
      <c r="G25" s="14">
        <f ca="1">IFERROR(__xludf.DUMMYFUNCTION("""COMPUTED_VALUE"""),33058)</f>
        <v>33058</v>
      </c>
      <c r="H25" s="10" t="s">
        <v>85</v>
      </c>
      <c r="I25" s="13">
        <v>45804</v>
      </c>
      <c r="J25" s="3" t="b">
        <v>1</v>
      </c>
    </row>
    <row r="26" spans="1:10" ht="15.75" customHeight="1" x14ac:dyDescent="0.3">
      <c r="A26" s="10">
        <v>19063</v>
      </c>
      <c r="B26" s="11" t="s">
        <v>157</v>
      </c>
      <c r="C26" s="10" t="s">
        <v>81</v>
      </c>
      <c r="D26" s="10" t="s">
        <v>82</v>
      </c>
      <c r="E26" s="12" t="s">
        <v>158</v>
      </c>
      <c r="F26" s="10" t="s">
        <v>159</v>
      </c>
      <c r="G26" s="14">
        <f ca="1">IFERROR(__xludf.DUMMYFUNCTION("""COMPUTED_VALUE"""),25773)</f>
        <v>25773</v>
      </c>
      <c r="H26" s="10" t="s">
        <v>85</v>
      </c>
      <c r="I26" s="13">
        <v>45804</v>
      </c>
      <c r="J26" s="3" t="b">
        <v>1</v>
      </c>
    </row>
    <row r="27" spans="1:10" ht="14.4" x14ac:dyDescent="0.3">
      <c r="A27" s="10">
        <v>351992</v>
      </c>
      <c r="B27" s="11" t="s">
        <v>160</v>
      </c>
      <c r="C27" s="10" t="s">
        <v>81</v>
      </c>
      <c r="D27" s="10" t="s">
        <v>82</v>
      </c>
      <c r="E27" s="12" t="s">
        <v>161</v>
      </c>
      <c r="F27" s="10">
        <v>19274409</v>
      </c>
      <c r="G27" s="14">
        <f ca="1">IFERROR(__xludf.DUMMYFUNCTION("""COMPUTED_VALUE"""),33349)</f>
        <v>33349</v>
      </c>
      <c r="H27" s="10" t="s">
        <v>85</v>
      </c>
      <c r="I27" s="13">
        <v>45804</v>
      </c>
      <c r="J27" s="3" t="b">
        <v>1</v>
      </c>
    </row>
    <row r="28" spans="1:10" ht="14.4" x14ac:dyDescent="0.3">
      <c r="A28" s="10">
        <v>359504</v>
      </c>
      <c r="B28" s="11" t="s">
        <v>162</v>
      </c>
      <c r="C28" s="10" t="s">
        <v>87</v>
      </c>
      <c r="D28" s="10" t="s">
        <v>82</v>
      </c>
      <c r="E28" s="12" t="s">
        <v>163</v>
      </c>
      <c r="F28" s="10">
        <v>29855951</v>
      </c>
      <c r="G28" s="13">
        <f ca="1">IFERROR(__xludf.DUMMYFUNCTION("""COMPUTED_VALUE"""),31345)</f>
        <v>31345</v>
      </c>
      <c r="H28" s="10" t="s">
        <v>85</v>
      </c>
      <c r="I28" s="13">
        <v>45804</v>
      </c>
      <c r="J28" s="3" t="b">
        <v>1</v>
      </c>
    </row>
    <row r="29" spans="1:10" ht="14.4" x14ac:dyDescent="0.3">
      <c r="A29" s="10">
        <v>98424</v>
      </c>
      <c r="B29" s="11" t="s">
        <v>164</v>
      </c>
      <c r="C29" s="10" t="s">
        <v>81</v>
      </c>
      <c r="D29" s="10" t="s">
        <v>165</v>
      </c>
      <c r="E29" s="12" t="s">
        <v>166</v>
      </c>
      <c r="F29" s="10" t="s">
        <v>167</v>
      </c>
      <c r="G29" s="14">
        <f ca="1">IFERROR(__xludf.DUMMYFUNCTION("""COMPUTED_VALUE"""),27171)</f>
        <v>27171</v>
      </c>
      <c r="H29" s="10">
        <v>1605</v>
      </c>
      <c r="I29" s="13">
        <v>45804</v>
      </c>
      <c r="J29" s="3" t="b">
        <v>1</v>
      </c>
    </row>
    <row r="30" spans="1:10" ht="14.4" x14ac:dyDescent="0.3">
      <c r="A30" s="10">
        <v>362696</v>
      </c>
      <c r="B30" s="11" t="s">
        <v>168</v>
      </c>
      <c r="C30" s="10" t="s">
        <v>81</v>
      </c>
      <c r="D30" s="10" t="s">
        <v>82</v>
      </c>
      <c r="E30" s="12" t="s">
        <v>169</v>
      </c>
      <c r="F30" s="10">
        <v>24270320</v>
      </c>
      <c r="G30" s="14">
        <f ca="1">IFERROR(__xludf.DUMMYFUNCTION("""COMPUTED_VALUE"""),33113)</f>
        <v>33113</v>
      </c>
      <c r="H30" s="10" t="s">
        <v>85</v>
      </c>
      <c r="I30" s="13">
        <v>45804</v>
      </c>
      <c r="J30" s="3" t="b">
        <v>1</v>
      </c>
    </row>
    <row r="31" spans="1:10" ht="14.4" x14ac:dyDescent="0.3">
      <c r="A31" s="10">
        <v>98484</v>
      </c>
      <c r="B31" s="11" t="s">
        <v>170</v>
      </c>
      <c r="C31" s="10" t="s">
        <v>87</v>
      </c>
      <c r="D31" s="12" t="s">
        <v>171</v>
      </c>
      <c r="E31" s="12" t="s">
        <v>172</v>
      </c>
      <c r="F31" s="10" t="s">
        <v>173</v>
      </c>
      <c r="G31" s="14">
        <f ca="1">IFERROR(__xludf.DUMMYFUNCTION("""COMPUTED_VALUE"""),27548)</f>
        <v>27548</v>
      </c>
      <c r="H31" s="10">
        <v>1605</v>
      </c>
      <c r="I31" s="13">
        <v>45804</v>
      </c>
      <c r="J31" s="3" t="b">
        <v>1</v>
      </c>
    </row>
    <row r="32" spans="1:10" ht="14.4" x14ac:dyDescent="0.3">
      <c r="A32" s="10">
        <v>98453</v>
      </c>
      <c r="B32" s="11" t="s">
        <v>174</v>
      </c>
      <c r="C32" s="10" t="s">
        <v>81</v>
      </c>
      <c r="D32" s="10" t="s">
        <v>175</v>
      </c>
      <c r="E32" s="12" t="s">
        <v>176</v>
      </c>
      <c r="F32" s="10" t="s">
        <v>177</v>
      </c>
      <c r="G32" s="14">
        <f ca="1">IFERROR(__xludf.DUMMYFUNCTION("""COMPUTED_VALUE"""),28899)</f>
        <v>28899</v>
      </c>
      <c r="H32" s="10" t="s">
        <v>178</v>
      </c>
      <c r="I32" s="13">
        <v>45804</v>
      </c>
      <c r="J32" s="3" t="b">
        <v>1</v>
      </c>
    </row>
    <row r="33" spans="1:10" ht="14.4" x14ac:dyDescent="0.3">
      <c r="A33" s="10">
        <v>98498</v>
      </c>
      <c r="B33" s="11" t="s">
        <v>179</v>
      </c>
      <c r="C33" s="10" t="s">
        <v>87</v>
      </c>
      <c r="D33" s="10" t="s">
        <v>82</v>
      </c>
      <c r="E33" s="12" t="s">
        <v>180</v>
      </c>
      <c r="F33" s="10" t="s">
        <v>181</v>
      </c>
      <c r="G33" s="14">
        <f ca="1">IFERROR(__xludf.DUMMYFUNCTION("""COMPUTED_VALUE"""),25875)</f>
        <v>25875</v>
      </c>
      <c r="H33" s="10" t="s">
        <v>178</v>
      </c>
      <c r="I33" s="13">
        <v>45804</v>
      </c>
      <c r="J33" s="3" t="b">
        <v>1</v>
      </c>
    </row>
    <row r="34" spans="1:10" ht="14.4" x14ac:dyDescent="0.3">
      <c r="A34" s="10">
        <v>98573</v>
      </c>
      <c r="B34" s="11" t="s">
        <v>182</v>
      </c>
      <c r="C34" s="10" t="s">
        <v>87</v>
      </c>
      <c r="D34" s="10" t="s">
        <v>171</v>
      </c>
      <c r="E34" s="12" t="s">
        <v>183</v>
      </c>
      <c r="F34" s="10" t="s">
        <v>184</v>
      </c>
      <c r="G34" s="14">
        <f ca="1">IFERROR(__xludf.DUMMYFUNCTION("""COMPUTED_VALUE"""),30134)</f>
        <v>30134</v>
      </c>
      <c r="H34" s="10" t="s">
        <v>178</v>
      </c>
      <c r="I34" s="13">
        <v>45804</v>
      </c>
      <c r="J34" s="3" t="b">
        <v>1</v>
      </c>
    </row>
    <row r="35" spans="1:10" ht="14.4" x14ac:dyDescent="0.3">
      <c r="A35" s="10">
        <v>98538</v>
      </c>
      <c r="B35" s="11" t="s">
        <v>185</v>
      </c>
      <c r="C35" s="10" t="s">
        <v>81</v>
      </c>
      <c r="D35" s="10" t="s">
        <v>82</v>
      </c>
      <c r="E35" s="12" t="s">
        <v>186</v>
      </c>
      <c r="F35" s="10" t="s">
        <v>187</v>
      </c>
      <c r="G35" s="14">
        <f ca="1">IFERROR(__xludf.DUMMYFUNCTION("""COMPUTED_VALUE"""),30424)</f>
        <v>30424</v>
      </c>
      <c r="H35" s="10" t="s">
        <v>178</v>
      </c>
      <c r="I35" s="13">
        <v>45804</v>
      </c>
      <c r="J35" s="3" t="b">
        <v>1</v>
      </c>
    </row>
    <row r="36" spans="1:10" ht="14.4" x14ac:dyDescent="0.3">
      <c r="A36" s="10">
        <v>98565</v>
      </c>
      <c r="B36" s="11" t="s">
        <v>188</v>
      </c>
      <c r="C36" s="10" t="s">
        <v>81</v>
      </c>
      <c r="D36" s="10" t="s">
        <v>189</v>
      </c>
      <c r="E36" s="12" t="s">
        <v>190</v>
      </c>
      <c r="F36" s="10" t="s">
        <v>191</v>
      </c>
      <c r="G36" s="14">
        <f ca="1">IFERROR(__xludf.DUMMYFUNCTION("""COMPUTED_VALUE"""),29254)</f>
        <v>29254</v>
      </c>
      <c r="H36" s="10" t="s">
        <v>178</v>
      </c>
      <c r="I36" s="13">
        <v>45804</v>
      </c>
      <c r="J36" s="3" t="b">
        <v>1</v>
      </c>
    </row>
    <row r="37" spans="1:10" ht="14.4" x14ac:dyDescent="0.3">
      <c r="A37" s="10">
        <v>99184</v>
      </c>
      <c r="B37" s="11" t="s">
        <v>192</v>
      </c>
      <c r="C37" s="10" t="s">
        <v>81</v>
      </c>
      <c r="D37" s="10" t="s">
        <v>94</v>
      </c>
      <c r="E37" s="12" t="s">
        <v>193</v>
      </c>
      <c r="F37" s="10" t="s">
        <v>194</v>
      </c>
      <c r="G37" s="14">
        <f ca="1">IFERROR(__xludf.DUMMYFUNCTION("""COMPUTED_VALUE"""),31656)</f>
        <v>31656</v>
      </c>
      <c r="H37" s="10" t="s">
        <v>178</v>
      </c>
      <c r="I37" s="13">
        <v>45804</v>
      </c>
      <c r="J37" s="3" t="b">
        <v>1</v>
      </c>
    </row>
    <row r="38" spans="1:10" ht="14.4" x14ac:dyDescent="0.3">
      <c r="A38" s="10">
        <v>351500</v>
      </c>
      <c r="B38" s="11" t="s">
        <v>195</v>
      </c>
      <c r="C38" s="10" t="s">
        <v>81</v>
      </c>
      <c r="D38" s="10" t="s">
        <v>94</v>
      </c>
      <c r="E38" s="12" t="s">
        <v>196</v>
      </c>
      <c r="F38" s="10" t="s">
        <v>197</v>
      </c>
      <c r="G38" s="14">
        <f ca="1">IFERROR(__xludf.DUMMYFUNCTION("""COMPUTED_VALUE"""),34187)</f>
        <v>34187</v>
      </c>
      <c r="H38" s="10" t="s">
        <v>178</v>
      </c>
      <c r="I38" s="13">
        <v>45804</v>
      </c>
      <c r="J38" s="3" t="b">
        <v>1</v>
      </c>
    </row>
    <row r="39" spans="1:10" ht="14.4" x14ac:dyDescent="0.3">
      <c r="A39" s="10">
        <v>351506</v>
      </c>
      <c r="B39" s="11" t="s">
        <v>198</v>
      </c>
      <c r="C39" s="10" t="s">
        <v>81</v>
      </c>
      <c r="D39" s="10" t="s">
        <v>94</v>
      </c>
      <c r="E39" s="12" t="s">
        <v>199</v>
      </c>
      <c r="F39" s="10" t="s">
        <v>200</v>
      </c>
      <c r="G39" s="14">
        <f ca="1">IFERROR(__xludf.DUMMYFUNCTION("""COMPUTED_VALUE"""),34205)</f>
        <v>34205</v>
      </c>
      <c r="H39" s="10" t="s">
        <v>178</v>
      </c>
      <c r="I39" s="13">
        <v>45804</v>
      </c>
      <c r="J39" s="3" t="b">
        <v>1</v>
      </c>
    </row>
    <row r="40" spans="1:10" ht="14.4" x14ac:dyDescent="0.3">
      <c r="A40" s="10">
        <v>360972</v>
      </c>
      <c r="B40" s="11" t="s">
        <v>201</v>
      </c>
      <c r="C40" s="10" t="s">
        <v>87</v>
      </c>
      <c r="D40" s="10" t="s">
        <v>82</v>
      </c>
      <c r="E40" s="12" t="s">
        <v>202</v>
      </c>
      <c r="F40" s="10" t="s">
        <v>203</v>
      </c>
      <c r="G40" s="14">
        <f ca="1">IFERROR(__xludf.DUMMYFUNCTION("""COMPUTED_VALUE"""),29082)</f>
        <v>29082</v>
      </c>
      <c r="H40" s="10" t="s">
        <v>178</v>
      </c>
      <c r="I40" s="13">
        <v>45804</v>
      </c>
      <c r="J40" s="3" t="b">
        <v>1</v>
      </c>
    </row>
    <row r="41" spans="1:10" ht="14.4" x14ac:dyDescent="0.3">
      <c r="A41" s="10">
        <v>9260</v>
      </c>
      <c r="B41" s="11" t="s">
        <v>204</v>
      </c>
      <c r="C41" s="10" t="s">
        <v>87</v>
      </c>
      <c r="D41" s="10" t="s">
        <v>82</v>
      </c>
      <c r="E41" s="12" t="s">
        <v>205</v>
      </c>
      <c r="F41" s="10" t="s">
        <v>206</v>
      </c>
      <c r="G41" s="14">
        <f ca="1">IFERROR(__xludf.DUMMYFUNCTION("""COMPUTED_VALUE"""),32468)</f>
        <v>32468</v>
      </c>
      <c r="H41" s="10" t="s">
        <v>178</v>
      </c>
      <c r="I41" s="13">
        <v>45804</v>
      </c>
      <c r="J41" s="3" t="b">
        <v>1</v>
      </c>
    </row>
    <row r="42" spans="1:10" ht="14.4" x14ac:dyDescent="0.3">
      <c r="A42" s="10">
        <v>360982</v>
      </c>
      <c r="B42" s="11" t="s">
        <v>207</v>
      </c>
      <c r="C42" s="10" t="s">
        <v>87</v>
      </c>
      <c r="D42" s="10" t="s">
        <v>82</v>
      </c>
      <c r="E42" s="12" t="s">
        <v>208</v>
      </c>
      <c r="F42" s="10" t="s">
        <v>209</v>
      </c>
      <c r="G42" s="14">
        <f ca="1">IFERROR(__xludf.DUMMYFUNCTION("""COMPUTED_VALUE"""),33387)</f>
        <v>33387</v>
      </c>
      <c r="H42" s="10" t="s">
        <v>178</v>
      </c>
      <c r="I42" s="13">
        <v>45804</v>
      </c>
      <c r="J42" s="3" t="b">
        <v>1</v>
      </c>
    </row>
    <row r="43" spans="1:10" ht="14.4" x14ac:dyDescent="0.3">
      <c r="A43" s="10">
        <v>356858</v>
      </c>
      <c r="B43" s="11" t="s">
        <v>210</v>
      </c>
      <c r="C43" s="10" t="s">
        <v>87</v>
      </c>
      <c r="D43" s="10" t="s">
        <v>82</v>
      </c>
      <c r="E43" s="12" t="s">
        <v>211</v>
      </c>
      <c r="F43" s="10">
        <v>35625166</v>
      </c>
      <c r="G43" s="14">
        <f ca="1">IFERROR(__xludf.DUMMYFUNCTION("""COMPUTED_VALUE"""),35321)</f>
        <v>35321</v>
      </c>
      <c r="H43" s="10">
        <v>1606</v>
      </c>
      <c r="I43" s="13">
        <v>45804</v>
      </c>
      <c r="J43" s="3" t="b">
        <v>1</v>
      </c>
    </row>
    <row r="44" spans="1:10" ht="14.4" x14ac:dyDescent="0.3">
      <c r="A44" s="10">
        <v>99447</v>
      </c>
      <c r="B44" s="11" t="s">
        <v>212</v>
      </c>
      <c r="C44" s="10" t="s">
        <v>87</v>
      </c>
      <c r="D44" s="10" t="s">
        <v>82</v>
      </c>
      <c r="E44" s="12" t="s">
        <v>213</v>
      </c>
      <c r="F44" s="10" t="s">
        <v>214</v>
      </c>
      <c r="G44" s="14">
        <f ca="1">IFERROR(__xludf.DUMMYFUNCTION("""COMPUTED_VALUE"""),31135)</f>
        <v>31135</v>
      </c>
      <c r="H44" s="10" t="s">
        <v>178</v>
      </c>
      <c r="I44" s="13">
        <v>45804</v>
      </c>
      <c r="J44" s="3" t="b">
        <v>1</v>
      </c>
    </row>
    <row r="45" spans="1:10" ht="14.4" x14ac:dyDescent="0.3">
      <c r="A45" s="10">
        <v>360968</v>
      </c>
      <c r="B45" s="11" t="s">
        <v>215</v>
      </c>
      <c r="C45" s="10" t="s">
        <v>87</v>
      </c>
      <c r="D45" s="10" t="s">
        <v>82</v>
      </c>
      <c r="E45" s="12" t="s">
        <v>216</v>
      </c>
      <c r="F45" s="10" t="s">
        <v>217</v>
      </c>
      <c r="G45" s="15">
        <f ca="1">IFERROR(__xludf.DUMMYFUNCTION("""COMPUTED_VALUE"""),33909)</f>
        <v>33909</v>
      </c>
      <c r="H45" s="10" t="s">
        <v>178</v>
      </c>
      <c r="I45" s="13">
        <v>45804</v>
      </c>
      <c r="J45" s="3" t="b">
        <v>1</v>
      </c>
    </row>
    <row r="46" spans="1:10" ht="14.4" x14ac:dyDescent="0.3">
      <c r="A46" s="10">
        <v>359212</v>
      </c>
      <c r="B46" s="11" t="s">
        <v>218</v>
      </c>
      <c r="C46" s="10" t="s">
        <v>87</v>
      </c>
      <c r="D46" s="10" t="s">
        <v>82</v>
      </c>
      <c r="E46" s="12" t="s">
        <v>219</v>
      </c>
      <c r="F46" s="10" t="s">
        <v>220</v>
      </c>
      <c r="G46" s="14">
        <f ca="1">IFERROR(__xludf.DUMMYFUNCTION("""COMPUTED_VALUE"""),32878)</f>
        <v>32878</v>
      </c>
      <c r="H46" s="10" t="s">
        <v>178</v>
      </c>
      <c r="I46" s="13">
        <v>45804</v>
      </c>
      <c r="J46" s="3" t="b">
        <v>1</v>
      </c>
    </row>
    <row r="47" spans="1:10" ht="14.4" x14ac:dyDescent="0.3">
      <c r="A47" s="10">
        <v>361000</v>
      </c>
      <c r="B47" s="11" t="s">
        <v>221</v>
      </c>
      <c r="C47" s="10" t="s">
        <v>87</v>
      </c>
      <c r="D47" s="10" t="s">
        <v>82</v>
      </c>
      <c r="E47" s="12" t="s">
        <v>222</v>
      </c>
      <c r="F47" s="10" t="s">
        <v>223</v>
      </c>
      <c r="G47" s="14">
        <f ca="1">IFERROR(__xludf.DUMMYFUNCTION("""COMPUTED_VALUE"""),31538)</f>
        <v>31538</v>
      </c>
      <c r="H47" s="10" t="s">
        <v>178</v>
      </c>
      <c r="I47" s="13">
        <v>45804</v>
      </c>
      <c r="J47" s="3" t="b">
        <v>1</v>
      </c>
    </row>
    <row r="48" spans="1:10" ht="14.4" x14ac:dyDescent="0.3">
      <c r="A48" s="10">
        <v>99006</v>
      </c>
      <c r="B48" s="11" t="s">
        <v>224</v>
      </c>
      <c r="C48" s="10" t="s">
        <v>87</v>
      </c>
      <c r="D48" s="10" t="s">
        <v>82</v>
      </c>
      <c r="E48" s="12" t="s">
        <v>225</v>
      </c>
      <c r="F48" s="10" t="s">
        <v>226</v>
      </c>
      <c r="G48" s="14">
        <f ca="1">IFERROR(__xludf.DUMMYFUNCTION("""COMPUTED_VALUE"""),30362)</f>
        <v>30362</v>
      </c>
      <c r="H48" s="10" t="s">
        <v>178</v>
      </c>
      <c r="I48" s="13">
        <v>45804</v>
      </c>
      <c r="J48" s="3" t="b">
        <v>1</v>
      </c>
    </row>
    <row r="49" spans="1:10" ht="14.4" x14ac:dyDescent="0.3">
      <c r="A49" s="10">
        <v>352208</v>
      </c>
      <c r="B49" s="11" t="s">
        <v>227</v>
      </c>
      <c r="C49" s="10" t="s">
        <v>81</v>
      </c>
      <c r="D49" s="10" t="s">
        <v>82</v>
      </c>
      <c r="E49" s="12" t="s">
        <v>228</v>
      </c>
      <c r="F49" s="10" t="s">
        <v>229</v>
      </c>
      <c r="G49" s="14">
        <f ca="1">IFERROR(__xludf.DUMMYFUNCTION("""COMPUTED_VALUE"""),33442)</f>
        <v>33442</v>
      </c>
      <c r="H49" s="10" t="s">
        <v>178</v>
      </c>
      <c r="I49" s="13">
        <v>45804</v>
      </c>
      <c r="J49" s="3" t="b">
        <v>1</v>
      </c>
    </row>
    <row r="50" spans="1:10" ht="14.4" x14ac:dyDescent="0.3">
      <c r="A50" s="10">
        <v>99174</v>
      </c>
      <c r="B50" s="11" t="s">
        <v>230</v>
      </c>
      <c r="C50" s="10" t="s">
        <v>87</v>
      </c>
      <c r="D50" s="10" t="s">
        <v>82</v>
      </c>
      <c r="E50" s="12" t="s">
        <v>231</v>
      </c>
      <c r="F50" s="10">
        <v>18884380</v>
      </c>
      <c r="G50" s="14">
        <f ca="1">IFERROR(__xludf.DUMMYFUNCTION("""COMPUTED_VALUE"""),30377)</f>
        <v>30377</v>
      </c>
      <c r="H50" s="10" t="s">
        <v>232</v>
      </c>
      <c r="I50" s="13">
        <v>45804</v>
      </c>
      <c r="J50" s="3" t="b">
        <v>1</v>
      </c>
    </row>
    <row r="51" spans="1:10" ht="14.4" x14ac:dyDescent="0.3">
      <c r="A51" s="10">
        <v>360969</v>
      </c>
      <c r="B51" s="11" t="s">
        <v>233</v>
      </c>
      <c r="C51" s="10" t="s">
        <v>87</v>
      </c>
      <c r="D51" s="10" t="s">
        <v>82</v>
      </c>
      <c r="E51" s="12" t="s">
        <v>234</v>
      </c>
      <c r="F51" s="10" t="s">
        <v>235</v>
      </c>
      <c r="G51" s="14">
        <f ca="1">IFERROR(__xludf.DUMMYFUNCTION("""COMPUTED_VALUE"""),32551)</f>
        <v>32551</v>
      </c>
      <c r="H51" s="10" t="s">
        <v>178</v>
      </c>
      <c r="I51" s="13">
        <v>45804</v>
      </c>
      <c r="J51" s="3" t="b">
        <v>1</v>
      </c>
    </row>
    <row r="52" spans="1:10" ht="14.4" x14ac:dyDescent="0.3">
      <c r="A52" s="10">
        <v>360970</v>
      </c>
      <c r="B52" s="11" t="s">
        <v>236</v>
      </c>
      <c r="C52" s="10" t="s">
        <v>87</v>
      </c>
      <c r="D52" s="10" t="s">
        <v>82</v>
      </c>
      <c r="E52" s="12" t="s">
        <v>237</v>
      </c>
      <c r="F52" s="10" t="s">
        <v>238</v>
      </c>
      <c r="G52" s="14">
        <f ca="1">IFERROR(__xludf.DUMMYFUNCTION("""COMPUTED_VALUE"""),29725)</f>
        <v>29725</v>
      </c>
      <c r="H52" s="10" t="s">
        <v>178</v>
      </c>
      <c r="I52" s="13">
        <v>45804</v>
      </c>
      <c r="J52" s="3" t="b">
        <v>1</v>
      </c>
    </row>
    <row r="53" spans="1:10" ht="14.4" x14ac:dyDescent="0.3">
      <c r="A53" s="10">
        <v>360983</v>
      </c>
      <c r="B53" s="11" t="s">
        <v>239</v>
      </c>
      <c r="C53" s="10" t="s">
        <v>87</v>
      </c>
      <c r="D53" s="10" t="s">
        <v>82</v>
      </c>
      <c r="E53" s="12" t="s">
        <v>240</v>
      </c>
      <c r="F53" s="10" t="s">
        <v>241</v>
      </c>
      <c r="G53" s="14">
        <f ca="1">IFERROR(__xludf.DUMMYFUNCTION("""COMPUTED_VALUE"""),35691)</f>
        <v>35691</v>
      </c>
      <c r="H53" s="10" t="s">
        <v>178</v>
      </c>
      <c r="I53" s="13">
        <v>45804</v>
      </c>
      <c r="J53" s="3" t="b">
        <v>1</v>
      </c>
    </row>
    <row r="54" spans="1:10" ht="14.4" x14ac:dyDescent="0.3">
      <c r="A54" s="10">
        <v>361493</v>
      </c>
      <c r="B54" s="11" t="s">
        <v>242</v>
      </c>
      <c r="C54" s="10" t="s">
        <v>87</v>
      </c>
      <c r="D54" s="10" t="s">
        <v>82</v>
      </c>
      <c r="E54" s="12" t="s">
        <v>243</v>
      </c>
      <c r="F54" s="10" t="s">
        <v>244</v>
      </c>
      <c r="G54" s="14">
        <f ca="1">IFERROR(__xludf.DUMMYFUNCTION("""COMPUTED_VALUE"""),35074)</f>
        <v>35074</v>
      </c>
      <c r="H54" s="10" t="s">
        <v>178</v>
      </c>
      <c r="I54" s="13">
        <v>45804</v>
      </c>
      <c r="J54" s="3" t="b">
        <v>1</v>
      </c>
    </row>
    <row r="55" spans="1:10" ht="14.4" x14ac:dyDescent="0.3">
      <c r="A55" s="10">
        <v>360975</v>
      </c>
      <c r="B55" s="11" t="s">
        <v>245</v>
      </c>
      <c r="C55" s="10" t="s">
        <v>87</v>
      </c>
      <c r="D55" s="10" t="s">
        <v>82</v>
      </c>
      <c r="E55" s="12" t="s">
        <v>246</v>
      </c>
      <c r="F55" s="10">
        <v>31866769</v>
      </c>
      <c r="G55" s="14">
        <f ca="1">IFERROR(__xludf.DUMMYFUNCTION("""COMPUTED_VALUE"""),35368)</f>
        <v>35368</v>
      </c>
      <c r="H55" s="10" t="s">
        <v>178</v>
      </c>
      <c r="I55" s="13">
        <v>45804</v>
      </c>
      <c r="J55" s="3" t="b">
        <v>1</v>
      </c>
    </row>
    <row r="56" spans="1:10" ht="14.4" x14ac:dyDescent="0.3">
      <c r="A56" s="10">
        <v>361118</v>
      </c>
      <c r="B56" s="11" t="s">
        <v>247</v>
      </c>
      <c r="C56" s="10" t="s">
        <v>87</v>
      </c>
      <c r="D56" s="10" t="s">
        <v>82</v>
      </c>
      <c r="E56" s="12" t="s">
        <v>248</v>
      </c>
      <c r="F56" s="10">
        <v>17817323</v>
      </c>
      <c r="G56" s="14">
        <f ca="1">IFERROR(__xludf.DUMMYFUNCTION("""COMPUTED_VALUE"""),35871)</f>
        <v>35871</v>
      </c>
      <c r="H56" s="10" t="s">
        <v>178</v>
      </c>
      <c r="I56" s="13">
        <v>45804</v>
      </c>
      <c r="J56" s="3" t="b">
        <v>1</v>
      </c>
    </row>
    <row r="57" spans="1:10" ht="14.4" x14ac:dyDescent="0.3">
      <c r="A57" s="10">
        <v>352807</v>
      </c>
      <c r="B57" s="11" t="s">
        <v>249</v>
      </c>
      <c r="C57" s="10" t="s">
        <v>81</v>
      </c>
      <c r="D57" s="10" t="s">
        <v>82</v>
      </c>
      <c r="E57" s="12" t="s">
        <v>250</v>
      </c>
      <c r="F57" s="10" t="s">
        <v>251</v>
      </c>
      <c r="G57" s="14">
        <f ca="1">IFERROR(__xludf.DUMMYFUNCTION("""COMPUTED_VALUE"""),34779)</f>
        <v>34779</v>
      </c>
      <c r="H57" s="10" t="s">
        <v>178</v>
      </c>
      <c r="I57" s="13">
        <v>45804</v>
      </c>
      <c r="J57" s="3" t="b">
        <v>1</v>
      </c>
    </row>
    <row r="58" spans="1:10" ht="14.4" x14ac:dyDescent="0.3">
      <c r="A58" s="10">
        <v>99325</v>
      </c>
      <c r="B58" s="11" t="s">
        <v>252</v>
      </c>
      <c r="C58" s="10" t="s">
        <v>87</v>
      </c>
      <c r="D58" s="10" t="s">
        <v>82</v>
      </c>
      <c r="E58" s="12" t="s">
        <v>253</v>
      </c>
      <c r="F58" s="10" t="s">
        <v>254</v>
      </c>
      <c r="G58" s="14">
        <f ca="1">IFERROR(__xludf.DUMMYFUNCTION("""COMPUTED_VALUE"""),31215)</f>
        <v>31215</v>
      </c>
      <c r="H58" s="10" t="s">
        <v>178</v>
      </c>
      <c r="I58" s="13">
        <v>45804</v>
      </c>
      <c r="J58" s="3" t="b">
        <v>1</v>
      </c>
    </row>
    <row r="59" spans="1:10" ht="14.4" x14ac:dyDescent="0.3">
      <c r="A59" s="10">
        <v>350846</v>
      </c>
      <c r="B59" s="11" t="s">
        <v>255</v>
      </c>
      <c r="C59" s="10" t="s">
        <v>81</v>
      </c>
      <c r="D59" s="10" t="s">
        <v>82</v>
      </c>
      <c r="E59" s="12" t="s">
        <v>256</v>
      </c>
      <c r="F59" s="10" t="s">
        <v>257</v>
      </c>
      <c r="G59" s="14">
        <f ca="1">IFERROR(__xludf.DUMMYFUNCTION("""COMPUTED_VALUE"""),31785)</f>
        <v>31785</v>
      </c>
      <c r="H59" s="10" t="s">
        <v>178</v>
      </c>
      <c r="I59" s="13">
        <v>45804</v>
      </c>
      <c r="J59" s="3" t="b">
        <v>1</v>
      </c>
    </row>
    <row r="60" spans="1:10" ht="14.4" x14ac:dyDescent="0.3">
      <c r="A60" s="10">
        <v>25722</v>
      </c>
      <c r="B60" s="11" t="s">
        <v>258</v>
      </c>
      <c r="C60" s="10" t="s">
        <v>81</v>
      </c>
      <c r="D60" s="10" t="s">
        <v>94</v>
      </c>
      <c r="E60" s="12" t="s">
        <v>259</v>
      </c>
      <c r="F60" s="10" t="s">
        <v>260</v>
      </c>
      <c r="G60" s="14">
        <f ca="1">IFERROR(__xludf.DUMMYFUNCTION("""COMPUTED_VALUE"""),29491)</f>
        <v>29491</v>
      </c>
      <c r="H60" s="10">
        <v>1606</v>
      </c>
      <c r="I60" s="13">
        <v>45804</v>
      </c>
      <c r="J60" s="3" t="b">
        <v>1</v>
      </c>
    </row>
    <row r="61" spans="1:10" ht="14.4" x14ac:dyDescent="0.3">
      <c r="A61" s="10">
        <v>98422</v>
      </c>
      <c r="B61" s="11" t="s">
        <v>261</v>
      </c>
      <c r="C61" s="10" t="s">
        <v>81</v>
      </c>
      <c r="D61" s="10" t="s">
        <v>189</v>
      </c>
      <c r="E61" s="12" t="s">
        <v>262</v>
      </c>
      <c r="F61" s="10" t="s">
        <v>263</v>
      </c>
      <c r="G61" s="14">
        <f ca="1">IFERROR(__xludf.DUMMYFUNCTION("""COMPUTED_VALUE"""),30188)</f>
        <v>30188</v>
      </c>
      <c r="H61" s="10" t="s">
        <v>232</v>
      </c>
      <c r="I61" s="13">
        <v>45804</v>
      </c>
      <c r="J61" s="3" t="b">
        <v>1</v>
      </c>
    </row>
    <row r="62" spans="1:10" ht="14.4" x14ac:dyDescent="0.3">
      <c r="A62" s="10">
        <v>98483</v>
      </c>
      <c r="B62" s="11" t="s">
        <v>264</v>
      </c>
      <c r="C62" s="10" t="s">
        <v>81</v>
      </c>
      <c r="D62" s="10" t="s">
        <v>82</v>
      </c>
      <c r="E62" s="12" t="s">
        <v>265</v>
      </c>
      <c r="F62" s="10" t="s">
        <v>266</v>
      </c>
      <c r="G62" s="14">
        <f ca="1">IFERROR(__xludf.DUMMYFUNCTION("""COMPUTED_VALUE"""),29521)</f>
        <v>29521</v>
      </c>
      <c r="H62" s="10" t="s">
        <v>232</v>
      </c>
      <c r="I62" s="13">
        <v>45804</v>
      </c>
      <c r="J62" s="3" t="b">
        <v>1</v>
      </c>
    </row>
    <row r="63" spans="1:10" ht="14.4" x14ac:dyDescent="0.3">
      <c r="A63" s="10">
        <v>98542</v>
      </c>
      <c r="B63" s="11" t="s">
        <v>267</v>
      </c>
      <c r="C63" s="10" t="s">
        <v>87</v>
      </c>
      <c r="D63" s="10" t="s">
        <v>82</v>
      </c>
      <c r="E63" s="12" t="s">
        <v>268</v>
      </c>
      <c r="F63" s="10" t="s">
        <v>269</v>
      </c>
      <c r="G63" s="14">
        <f ca="1">IFERROR(__xludf.DUMMYFUNCTION("""COMPUTED_VALUE"""),25892)</f>
        <v>25892</v>
      </c>
      <c r="H63" s="10" t="s">
        <v>232</v>
      </c>
      <c r="I63" s="13">
        <v>45804</v>
      </c>
      <c r="J63" s="3" t="b">
        <v>1</v>
      </c>
    </row>
    <row r="64" spans="1:10" ht="14.4" x14ac:dyDescent="0.3">
      <c r="A64" s="10">
        <v>98576</v>
      </c>
      <c r="B64" s="11" t="s">
        <v>270</v>
      </c>
      <c r="C64" s="10" t="s">
        <v>87</v>
      </c>
      <c r="D64" s="10" t="s">
        <v>82</v>
      </c>
      <c r="E64" s="12" t="s">
        <v>271</v>
      </c>
      <c r="F64" s="10" t="s">
        <v>272</v>
      </c>
      <c r="G64" s="14">
        <f ca="1">IFERROR(__xludf.DUMMYFUNCTION("""COMPUTED_VALUE"""),25544)</f>
        <v>25544</v>
      </c>
      <c r="H64" s="10" t="s">
        <v>232</v>
      </c>
      <c r="I64" s="13">
        <v>45804</v>
      </c>
      <c r="J64" s="3" t="b">
        <v>1</v>
      </c>
    </row>
    <row r="65" spans="1:10" ht="14.4" x14ac:dyDescent="0.3">
      <c r="A65" s="10">
        <v>98578</v>
      </c>
      <c r="B65" s="11" t="s">
        <v>273</v>
      </c>
      <c r="C65" s="10" t="s">
        <v>81</v>
      </c>
      <c r="D65" s="10" t="s">
        <v>189</v>
      </c>
      <c r="E65" s="12" t="s">
        <v>274</v>
      </c>
      <c r="F65" s="10" t="s">
        <v>275</v>
      </c>
      <c r="G65" s="14">
        <f ca="1">IFERROR(__xludf.DUMMYFUNCTION("""COMPUTED_VALUE"""),30948)</f>
        <v>30948</v>
      </c>
      <c r="H65" s="10" t="s">
        <v>232</v>
      </c>
      <c r="I65" s="13">
        <v>45804</v>
      </c>
      <c r="J65" s="3" t="b">
        <v>1</v>
      </c>
    </row>
    <row r="66" spans="1:10" ht="14.4" x14ac:dyDescent="0.3">
      <c r="A66" s="10">
        <v>351664</v>
      </c>
      <c r="B66" s="11" t="s">
        <v>276</v>
      </c>
      <c r="C66" s="10" t="s">
        <v>81</v>
      </c>
      <c r="D66" s="10" t="s">
        <v>94</v>
      </c>
      <c r="E66" s="12" t="s">
        <v>277</v>
      </c>
      <c r="F66" s="10" t="s">
        <v>278</v>
      </c>
      <c r="G66" s="14">
        <f ca="1">IFERROR(__xludf.DUMMYFUNCTION("""COMPUTED_VALUE"""),33969)</f>
        <v>33969</v>
      </c>
      <c r="H66" s="10" t="s">
        <v>232</v>
      </c>
      <c r="I66" s="13">
        <v>45804</v>
      </c>
      <c r="J66" s="3" t="b">
        <v>1</v>
      </c>
    </row>
    <row r="67" spans="1:10" ht="14.4" x14ac:dyDescent="0.3">
      <c r="A67" s="10">
        <v>363768</v>
      </c>
      <c r="B67" s="11" t="s">
        <v>279</v>
      </c>
      <c r="C67" s="10" t="s">
        <v>81</v>
      </c>
      <c r="D67" s="10" t="s">
        <v>82</v>
      </c>
      <c r="E67" s="12" t="s">
        <v>280</v>
      </c>
      <c r="F67" s="10" t="s">
        <v>281</v>
      </c>
      <c r="G67" s="14">
        <f ca="1">IFERROR(__xludf.DUMMYFUNCTION("""COMPUTED_VALUE"""),36018)</f>
        <v>36018</v>
      </c>
      <c r="H67" s="10" t="s">
        <v>232</v>
      </c>
      <c r="I67" s="13">
        <v>45804</v>
      </c>
      <c r="J67" s="3" t="b">
        <v>1</v>
      </c>
    </row>
    <row r="68" spans="1:10" ht="14.4" x14ac:dyDescent="0.3">
      <c r="A68" s="10">
        <v>358798</v>
      </c>
      <c r="B68" s="11" t="s">
        <v>282</v>
      </c>
      <c r="C68" s="10" t="s">
        <v>81</v>
      </c>
      <c r="D68" s="10" t="s">
        <v>82</v>
      </c>
      <c r="E68" s="12" t="s">
        <v>283</v>
      </c>
      <c r="F68" s="16" t="s">
        <v>284</v>
      </c>
      <c r="G68" s="14" t="str">
        <f ca="1">IFERROR(__xludf.DUMMYFUNCTION("""COMPUTED_VALUE"""),"")</f>
        <v/>
      </c>
      <c r="H68" s="10" t="s">
        <v>232</v>
      </c>
      <c r="I68" s="13">
        <v>45804</v>
      </c>
      <c r="J68" s="3" t="b">
        <v>1</v>
      </c>
    </row>
    <row r="69" spans="1:10" ht="14.4" x14ac:dyDescent="0.3">
      <c r="A69" s="10">
        <v>363804</v>
      </c>
      <c r="B69" s="11" t="s">
        <v>285</v>
      </c>
      <c r="C69" s="10" t="s">
        <v>87</v>
      </c>
      <c r="D69" s="10" t="s">
        <v>82</v>
      </c>
      <c r="E69" s="12" t="s">
        <v>286</v>
      </c>
      <c r="F69" s="10" t="s">
        <v>287</v>
      </c>
      <c r="G69" s="14">
        <f ca="1">IFERROR(__xludf.DUMMYFUNCTION("""COMPUTED_VALUE"""),37808)</f>
        <v>37808</v>
      </c>
      <c r="H69" s="10" t="s">
        <v>232</v>
      </c>
      <c r="I69" s="13">
        <v>45804</v>
      </c>
      <c r="J69" s="3" t="b">
        <v>1</v>
      </c>
    </row>
    <row r="70" spans="1:10" ht="14.4" x14ac:dyDescent="0.3">
      <c r="A70" s="10">
        <v>363803</v>
      </c>
      <c r="B70" s="11" t="s">
        <v>288</v>
      </c>
      <c r="C70" s="10" t="s">
        <v>87</v>
      </c>
      <c r="D70" s="10" t="s">
        <v>82</v>
      </c>
      <c r="E70" s="12" t="s">
        <v>289</v>
      </c>
      <c r="F70" s="10" t="s">
        <v>290</v>
      </c>
      <c r="G70" s="14">
        <f ca="1">IFERROR(__xludf.DUMMYFUNCTION("""COMPUTED_VALUE"""),36363)</f>
        <v>36363</v>
      </c>
      <c r="H70" s="10" t="s">
        <v>232</v>
      </c>
      <c r="I70" s="13">
        <v>45804</v>
      </c>
      <c r="J70" s="3" t="b">
        <v>1</v>
      </c>
    </row>
    <row r="71" spans="1:10" ht="14.4" x14ac:dyDescent="0.3">
      <c r="A71" s="10">
        <v>98368</v>
      </c>
      <c r="B71" s="11" t="s">
        <v>291</v>
      </c>
      <c r="C71" s="10" t="s">
        <v>81</v>
      </c>
      <c r="D71" s="10" t="s">
        <v>292</v>
      </c>
      <c r="E71" s="12" t="s">
        <v>293</v>
      </c>
      <c r="F71" s="10" t="s">
        <v>294</v>
      </c>
      <c r="G71" s="14">
        <f ca="1">IFERROR(__xludf.DUMMYFUNCTION("""COMPUTED_VALUE"""),26625)</f>
        <v>26625</v>
      </c>
      <c r="H71" s="10" t="s">
        <v>295</v>
      </c>
      <c r="I71" s="13">
        <v>45804</v>
      </c>
      <c r="J71" s="3" t="b">
        <v>1</v>
      </c>
    </row>
    <row r="72" spans="1:10" ht="14.4" x14ac:dyDescent="0.3">
      <c r="A72" s="10">
        <v>98346</v>
      </c>
      <c r="B72" s="11" t="s">
        <v>296</v>
      </c>
      <c r="C72" s="10" t="s">
        <v>81</v>
      </c>
      <c r="D72" s="10" t="s">
        <v>292</v>
      </c>
      <c r="E72" s="12" t="s">
        <v>297</v>
      </c>
      <c r="F72" s="10" t="s">
        <v>298</v>
      </c>
      <c r="G72" s="14">
        <f ca="1">IFERROR(__xludf.DUMMYFUNCTION("""COMPUTED_VALUE"""),28839)</f>
        <v>28839</v>
      </c>
      <c r="H72" s="10" t="s">
        <v>295</v>
      </c>
      <c r="I72" s="13">
        <v>45804</v>
      </c>
      <c r="J72" s="3" t="b">
        <v>1</v>
      </c>
    </row>
    <row r="73" spans="1:10" ht="14.4" x14ac:dyDescent="0.3">
      <c r="A73" s="10">
        <v>98460</v>
      </c>
      <c r="B73" s="11" t="s">
        <v>299</v>
      </c>
      <c r="C73" s="10" t="s">
        <v>81</v>
      </c>
      <c r="D73" s="10" t="s">
        <v>175</v>
      </c>
      <c r="E73" s="12" t="s">
        <v>300</v>
      </c>
      <c r="F73" s="10" t="s">
        <v>301</v>
      </c>
      <c r="G73" s="14">
        <f ca="1">IFERROR(__xludf.DUMMYFUNCTION("""COMPUTED_VALUE"""),29511)</f>
        <v>29511</v>
      </c>
      <c r="H73" s="10" t="s">
        <v>295</v>
      </c>
      <c r="I73" s="13">
        <v>45804</v>
      </c>
      <c r="J73" s="3" t="b">
        <v>1</v>
      </c>
    </row>
    <row r="74" spans="1:10" ht="14.4" x14ac:dyDescent="0.3">
      <c r="A74" s="10">
        <v>97736</v>
      </c>
      <c r="B74" s="11" t="s">
        <v>302</v>
      </c>
      <c r="C74" s="10" t="s">
        <v>87</v>
      </c>
      <c r="D74" s="10" t="s">
        <v>82</v>
      </c>
      <c r="E74" s="12" t="s">
        <v>303</v>
      </c>
      <c r="F74" s="10" t="s">
        <v>304</v>
      </c>
      <c r="G74" s="14">
        <f ca="1">IFERROR(__xludf.DUMMYFUNCTION("""COMPUTED_VALUE"""),24417)</f>
        <v>24417</v>
      </c>
      <c r="H74" s="10" t="s">
        <v>305</v>
      </c>
      <c r="I74" s="13">
        <v>45804</v>
      </c>
      <c r="J74" s="3" t="b">
        <v>1</v>
      </c>
    </row>
    <row r="75" spans="1:10" ht="14.4" x14ac:dyDescent="0.3">
      <c r="A75" s="10">
        <v>98258</v>
      </c>
      <c r="B75" s="11" t="s">
        <v>306</v>
      </c>
      <c r="C75" s="10" t="s">
        <v>87</v>
      </c>
      <c r="D75" s="10" t="s">
        <v>82</v>
      </c>
      <c r="E75" s="12" t="s">
        <v>231</v>
      </c>
      <c r="F75" s="10">
        <v>18884380</v>
      </c>
      <c r="G75" s="14">
        <f ca="1">IFERROR(__xludf.DUMMYFUNCTION("""COMPUTED_VALUE"""),30377)</f>
        <v>30377</v>
      </c>
      <c r="H75" s="10" t="s">
        <v>305</v>
      </c>
      <c r="I75" s="13">
        <v>45804</v>
      </c>
      <c r="J75" s="3" t="b">
        <v>1</v>
      </c>
    </row>
    <row r="76" spans="1:10" ht="14.4" x14ac:dyDescent="0.3">
      <c r="A76" s="10">
        <v>98557</v>
      </c>
      <c r="B76" s="11" t="s">
        <v>307</v>
      </c>
      <c r="C76" s="10" t="s">
        <v>87</v>
      </c>
      <c r="D76" s="10" t="s">
        <v>82</v>
      </c>
      <c r="E76" s="12" t="s">
        <v>308</v>
      </c>
      <c r="F76" s="10" t="s">
        <v>309</v>
      </c>
      <c r="G76" s="14">
        <f ca="1">IFERROR(__xludf.DUMMYFUNCTION("""COMPUTED_VALUE"""),30067)</f>
        <v>30067</v>
      </c>
      <c r="H76" s="10" t="s">
        <v>305</v>
      </c>
      <c r="I76" s="13">
        <v>45804</v>
      </c>
      <c r="J76" s="3" t="b">
        <v>1</v>
      </c>
    </row>
    <row r="77" spans="1:10" ht="14.4" x14ac:dyDescent="0.3">
      <c r="A77" s="10">
        <v>98995</v>
      </c>
      <c r="B77" s="11" t="s">
        <v>310</v>
      </c>
      <c r="C77" s="10" t="s">
        <v>87</v>
      </c>
      <c r="D77" s="10" t="s">
        <v>82</v>
      </c>
      <c r="E77" s="12" t="s">
        <v>311</v>
      </c>
      <c r="F77" s="10" t="s">
        <v>312</v>
      </c>
      <c r="G77" s="14">
        <f ca="1">IFERROR(__xludf.DUMMYFUNCTION("""COMPUTED_VALUE"""),27093)</f>
        <v>27093</v>
      </c>
      <c r="H77" s="10" t="s">
        <v>305</v>
      </c>
      <c r="I77" s="13">
        <v>45804</v>
      </c>
      <c r="J77" s="3" t="b">
        <v>1</v>
      </c>
    </row>
    <row r="78" spans="1:10" ht="14.4" x14ac:dyDescent="0.3">
      <c r="A78" s="10">
        <v>99158</v>
      </c>
      <c r="B78" s="11" t="s">
        <v>313</v>
      </c>
      <c r="C78" s="10" t="s">
        <v>87</v>
      </c>
      <c r="D78" s="10" t="s">
        <v>82</v>
      </c>
      <c r="E78" s="12" t="s">
        <v>314</v>
      </c>
      <c r="F78" s="10" t="s">
        <v>315</v>
      </c>
      <c r="G78" s="14" t="str">
        <f ca="1">IFERROR(__xludf.DUMMYFUNCTION("""COMPUTED_VALUE"""),"")</f>
        <v/>
      </c>
      <c r="H78" s="10" t="s">
        <v>305</v>
      </c>
      <c r="I78" s="13">
        <v>45804</v>
      </c>
      <c r="J78" s="3" t="b">
        <v>1</v>
      </c>
    </row>
    <row r="79" spans="1:10" ht="14.4" x14ac:dyDescent="0.3">
      <c r="A79" s="10">
        <v>351502</v>
      </c>
      <c r="B79" s="11" t="s">
        <v>316</v>
      </c>
      <c r="C79" s="10" t="s">
        <v>87</v>
      </c>
      <c r="D79" s="10" t="s">
        <v>82</v>
      </c>
      <c r="E79" s="12" t="s">
        <v>317</v>
      </c>
      <c r="F79" s="10" t="s">
        <v>318</v>
      </c>
      <c r="G79" s="14">
        <f ca="1">IFERROR(__xludf.DUMMYFUNCTION("""COMPUTED_VALUE"""),27657)</f>
        <v>27657</v>
      </c>
      <c r="H79" s="10" t="s">
        <v>305</v>
      </c>
      <c r="I79" s="13">
        <v>45804</v>
      </c>
      <c r="J79" s="3" t="b">
        <v>1</v>
      </c>
    </row>
    <row r="80" spans="1:10" ht="14.4" x14ac:dyDescent="0.3">
      <c r="A80" s="10">
        <v>351594</v>
      </c>
      <c r="B80" s="11" t="s">
        <v>319</v>
      </c>
      <c r="C80" s="10" t="s">
        <v>81</v>
      </c>
      <c r="D80" s="10" t="s">
        <v>82</v>
      </c>
      <c r="E80" s="12" t="s">
        <v>320</v>
      </c>
      <c r="F80" s="10" t="s">
        <v>321</v>
      </c>
      <c r="G80" s="14">
        <f ca="1">IFERROR(__xludf.DUMMYFUNCTION("""COMPUTED_VALUE"""),33068)</f>
        <v>33068</v>
      </c>
      <c r="H80" s="10" t="s">
        <v>305</v>
      </c>
      <c r="I80" s="13">
        <v>45804</v>
      </c>
      <c r="J80" s="3" t="b">
        <v>1</v>
      </c>
    </row>
    <row r="81" spans="1:10" ht="14.4" x14ac:dyDescent="0.3">
      <c r="A81" s="10">
        <v>9297</v>
      </c>
      <c r="B81" s="11" t="s">
        <v>322</v>
      </c>
      <c r="C81" s="10" t="s">
        <v>87</v>
      </c>
      <c r="D81" s="10" t="s">
        <v>82</v>
      </c>
      <c r="E81" s="12" t="s">
        <v>323</v>
      </c>
      <c r="F81" s="10" t="s">
        <v>324</v>
      </c>
      <c r="G81" s="14">
        <f ca="1">IFERROR(__xludf.DUMMYFUNCTION("""COMPUTED_VALUE"""),29477)</f>
        <v>29477</v>
      </c>
      <c r="H81" s="10" t="s">
        <v>305</v>
      </c>
      <c r="I81" s="13">
        <v>45804</v>
      </c>
      <c r="J81" s="3" t="b">
        <v>1</v>
      </c>
    </row>
    <row r="82" spans="1:10" ht="14.4" x14ac:dyDescent="0.3">
      <c r="A82" s="10">
        <v>353488</v>
      </c>
      <c r="B82" s="11" t="s">
        <v>325</v>
      </c>
      <c r="C82" s="10" t="s">
        <v>87</v>
      </c>
      <c r="D82" s="10" t="s">
        <v>82</v>
      </c>
      <c r="E82" s="12" t="s">
        <v>326</v>
      </c>
      <c r="F82" s="10">
        <v>22928070</v>
      </c>
      <c r="G82" s="14">
        <f ca="1">IFERROR(__xludf.DUMMYFUNCTION("""COMPUTED_VALUE"""),34111)</f>
        <v>34111</v>
      </c>
      <c r="H82" s="10" t="s">
        <v>305</v>
      </c>
      <c r="I82" s="13">
        <v>45804</v>
      </c>
      <c r="J82" s="3" t="b">
        <v>1</v>
      </c>
    </row>
    <row r="83" spans="1:10" ht="14.4" x14ac:dyDescent="0.3">
      <c r="A83" s="10">
        <v>4112</v>
      </c>
      <c r="B83" s="11" t="s">
        <v>327</v>
      </c>
      <c r="C83" s="10" t="s">
        <v>87</v>
      </c>
      <c r="D83" s="10" t="s">
        <v>82</v>
      </c>
      <c r="E83" s="12" t="s">
        <v>328</v>
      </c>
      <c r="F83" s="10" t="s">
        <v>329</v>
      </c>
      <c r="G83" s="14">
        <f ca="1">IFERROR(__xludf.DUMMYFUNCTION("""COMPUTED_VALUE"""),31129)</f>
        <v>31129</v>
      </c>
      <c r="H83" s="10" t="s">
        <v>305</v>
      </c>
      <c r="I83" s="13">
        <v>45804</v>
      </c>
      <c r="J83" s="3" t="b">
        <v>1</v>
      </c>
    </row>
    <row r="84" spans="1:10" ht="14.4" x14ac:dyDescent="0.3">
      <c r="A84" s="10">
        <v>360976</v>
      </c>
      <c r="B84" s="11" t="s">
        <v>330</v>
      </c>
      <c r="C84" s="10" t="s">
        <v>87</v>
      </c>
      <c r="D84" s="10" t="s">
        <v>82</v>
      </c>
      <c r="E84" s="12" t="s">
        <v>331</v>
      </c>
      <c r="F84" s="10">
        <v>22005269</v>
      </c>
      <c r="G84" s="14">
        <f ca="1">IFERROR(__xludf.DUMMYFUNCTION("""COMPUTED_VALUE"""),30766)</f>
        <v>30766</v>
      </c>
      <c r="H84" s="10" t="s">
        <v>305</v>
      </c>
      <c r="I84" s="13">
        <v>45804</v>
      </c>
      <c r="J84" s="3" t="b">
        <v>1</v>
      </c>
    </row>
    <row r="85" spans="1:10" ht="14.4" x14ac:dyDescent="0.3">
      <c r="A85" s="10">
        <v>364786</v>
      </c>
      <c r="B85" s="11" t="s">
        <v>332</v>
      </c>
      <c r="C85" s="10" t="s">
        <v>81</v>
      </c>
      <c r="D85" s="10" t="s">
        <v>82</v>
      </c>
      <c r="E85" s="12" t="s">
        <v>333</v>
      </c>
      <c r="F85" s="10">
        <v>41084289</v>
      </c>
      <c r="G85" s="14">
        <f ca="1">IFERROR(__xludf.DUMMYFUNCTION("""COMPUTED_VALUE"""),36832)</f>
        <v>36832</v>
      </c>
      <c r="H85" s="10" t="s">
        <v>305</v>
      </c>
      <c r="I85" s="13">
        <v>45804</v>
      </c>
      <c r="J85" s="3" t="b">
        <v>1</v>
      </c>
    </row>
    <row r="86" spans="1:10" ht="14.4" x14ac:dyDescent="0.3">
      <c r="A86" s="10">
        <v>365515</v>
      </c>
      <c r="B86" s="11" t="s">
        <v>334</v>
      </c>
      <c r="C86" s="10" t="s">
        <v>81</v>
      </c>
      <c r="D86" s="10" t="s">
        <v>335</v>
      </c>
      <c r="E86" s="12" t="s">
        <v>336</v>
      </c>
      <c r="F86" s="17"/>
      <c r="G86" s="14">
        <f ca="1">IFERROR(__xludf.DUMMYFUNCTION("""COMPUTED_VALUE"""),35793)</f>
        <v>35793</v>
      </c>
      <c r="H86" s="10">
        <v>1606</v>
      </c>
      <c r="I86" s="13">
        <v>45804</v>
      </c>
      <c r="J86" s="3" t="b">
        <v>1</v>
      </c>
    </row>
    <row r="87" spans="1:10" ht="14.4" x14ac:dyDescent="0.3">
      <c r="A87" s="10">
        <v>585</v>
      </c>
      <c r="B87" s="11" t="s">
        <v>337</v>
      </c>
      <c r="C87" s="10" t="s">
        <v>81</v>
      </c>
      <c r="D87" s="10" t="s">
        <v>94</v>
      </c>
      <c r="E87" s="12" t="s">
        <v>338</v>
      </c>
      <c r="F87" s="10" t="s">
        <v>339</v>
      </c>
      <c r="G87" s="14">
        <f ca="1">IFERROR(__xludf.DUMMYFUNCTION("""COMPUTED_VALUE"""),29590)</f>
        <v>29590</v>
      </c>
      <c r="H87" s="10" t="s">
        <v>340</v>
      </c>
      <c r="I87" s="13">
        <v>45804</v>
      </c>
      <c r="J87" s="3" t="b">
        <v>1</v>
      </c>
    </row>
    <row r="88" spans="1:10" ht="14.4" x14ac:dyDescent="0.3">
      <c r="A88" s="10">
        <v>9159</v>
      </c>
      <c r="B88" s="11" t="s">
        <v>341</v>
      </c>
      <c r="C88" s="10" t="s">
        <v>81</v>
      </c>
      <c r="D88" s="10" t="s">
        <v>94</v>
      </c>
      <c r="E88" s="12" t="s">
        <v>342</v>
      </c>
      <c r="F88" s="10" t="s">
        <v>343</v>
      </c>
      <c r="G88" s="14">
        <f ca="1">IFERROR(__xludf.DUMMYFUNCTION("""COMPUTED_VALUE"""),33900)</f>
        <v>33900</v>
      </c>
      <c r="H88" s="10" t="s">
        <v>340</v>
      </c>
      <c r="I88" s="13">
        <v>45804</v>
      </c>
      <c r="J88" s="3" t="b">
        <v>1</v>
      </c>
    </row>
    <row r="89" spans="1:10" ht="14.4" x14ac:dyDescent="0.3">
      <c r="A89" s="10">
        <v>98535</v>
      </c>
      <c r="B89" s="11" t="s">
        <v>344</v>
      </c>
      <c r="C89" s="10" t="s">
        <v>81</v>
      </c>
      <c r="D89" s="10" t="s">
        <v>94</v>
      </c>
      <c r="E89" s="12" t="s">
        <v>345</v>
      </c>
      <c r="F89" s="10" t="s">
        <v>346</v>
      </c>
      <c r="G89" s="18">
        <f ca="1">IFERROR(__xludf.DUMMYFUNCTION("""COMPUTED_VALUE"""),27729)</f>
        <v>27729</v>
      </c>
      <c r="H89" s="10" t="s">
        <v>340</v>
      </c>
      <c r="I89" s="13">
        <v>45804</v>
      </c>
      <c r="J89" s="3" t="b">
        <v>1</v>
      </c>
    </row>
    <row r="90" spans="1:10" ht="14.4" x14ac:dyDescent="0.3">
      <c r="A90" s="10">
        <v>350477</v>
      </c>
      <c r="B90" s="11" t="s">
        <v>347</v>
      </c>
      <c r="C90" s="10" t="s">
        <v>81</v>
      </c>
      <c r="D90" s="10" t="s">
        <v>94</v>
      </c>
      <c r="E90" s="12" t="s">
        <v>348</v>
      </c>
      <c r="F90" s="10" t="s">
        <v>349</v>
      </c>
      <c r="G90" s="18">
        <f ca="1">IFERROR(__xludf.DUMMYFUNCTION("""COMPUTED_VALUE"""),33199)</f>
        <v>33199</v>
      </c>
      <c r="H90" s="10" t="s">
        <v>340</v>
      </c>
      <c r="I90" s="13">
        <v>45804</v>
      </c>
      <c r="J90" s="3" t="b">
        <v>1</v>
      </c>
    </row>
    <row r="91" spans="1:10" ht="14.4" x14ac:dyDescent="0.3">
      <c r="A91" s="10">
        <v>350478</v>
      </c>
      <c r="B91" s="11" t="s">
        <v>350</v>
      </c>
      <c r="C91" s="10" t="s">
        <v>81</v>
      </c>
      <c r="D91" s="10" t="s">
        <v>94</v>
      </c>
      <c r="E91" s="12" t="s">
        <v>351</v>
      </c>
      <c r="F91" s="10">
        <v>25515916</v>
      </c>
      <c r="G91" s="18">
        <f ca="1">IFERROR(__xludf.DUMMYFUNCTION("""COMPUTED_VALUE"""),32828)</f>
        <v>32828</v>
      </c>
      <c r="H91" s="10" t="s">
        <v>340</v>
      </c>
      <c r="I91" s="13">
        <v>45804</v>
      </c>
      <c r="J91" s="3" t="b">
        <v>1</v>
      </c>
    </row>
    <row r="92" spans="1:10" ht="14.4" x14ac:dyDescent="0.3">
      <c r="A92" s="10">
        <v>5831</v>
      </c>
      <c r="B92" s="11" t="s">
        <v>352</v>
      </c>
      <c r="C92" s="10" t="s">
        <v>81</v>
      </c>
      <c r="D92" s="10" t="s">
        <v>94</v>
      </c>
      <c r="E92" s="12" t="s">
        <v>353</v>
      </c>
      <c r="F92" s="10">
        <v>20559685</v>
      </c>
      <c r="G92" s="18">
        <f ca="1">IFERROR(__xludf.DUMMYFUNCTION("""COMPUTED_VALUE"""),32959)</f>
        <v>32959</v>
      </c>
      <c r="H92" s="10" t="s">
        <v>340</v>
      </c>
      <c r="I92" s="13">
        <v>45804</v>
      </c>
      <c r="J92" s="3" t="b">
        <v>1</v>
      </c>
    </row>
    <row r="93" spans="1:10" ht="14.4" x14ac:dyDescent="0.3">
      <c r="A93" s="10">
        <v>351543</v>
      </c>
      <c r="B93" s="11" t="s">
        <v>354</v>
      </c>
      <c r="C93" s="10" t="s">
        <v>81</v>
      </c>
      <c r="D93" s="10" t="s">
        <v>82</v>
      </c>
      <c r="E93" s="12" t="s">
        <v>355</v>
      </c>
      <c r="F93" s="10">
        <v>25310090</v>
      </c>
      <c r="G93" s="18">
        <f ca="1">IFERROR(__xludf.DUMMYFUNCTION("""COMPUTED_VALUE"""),33333)</f>
        <v>33333</v>
      </c>
      <c r="H93" s="10" t="s">
        <v>340</v>
      </c>
      <c r="I93" s="13">
        <v>45804</v>
      </c>
      <c r="J93" s="3" t="b">
        <v>1</v>
      </c>
    </row>
    <row r="94" spans="1:10" ht="14.4" x14ac:dyDescent="0.3">
      <c r="A94" s="10">
        <v>356130</v>
      </c>
      <c r="B94" s="11" t="s">
        <v>356</v>
      </c>
      <c r="C94" s="10" t="s">
        <v>81</v>
      </c>
      <c r="D94" s="10" t="s">
        <v>82</v>
      </c>
      <c r="E94" s="12" t="s">
        <v>357</v>
      </c>
      <c r="F94" s="10">
        <v>28682552</v>
      </c>
      <c r="G94" s="18">
        <f ca="1">IFERROR(__xludf.DUMMYFUNCTION("""COMPUTED_VALUE"""),34929)</f>
        <v>34929</v>
      </c>
      <c r="H94" s="10" t="s">
        <v>232</v>
      </c>
      <c r="I94" s="13">
        <v>45804</v>
      </c>
      <c r="J94" s="3" t="b">
        <v>1</v>
      </c>
    </row>
    <row r="95" spans="1:10" ht="14.4" x14ac:dyDescent="0.3">
      <c r="A95" s="10">
        <v>99505</v>
      </c>
      <c r="B95" s="11" t="s">
        <v>358</v>
      </c>
      <c r="C95" s="10" t="s">
        <v>81</v>
      </c>
      <c r="D95" s="10" t="s">
        <v>94</v>
      </c>
      <c r="E95" s="12" t="s">
        <v>359</v>
      </c>
      <c r="F95" s="10" t="s">
        <v>360</v>
      </c>
      <c r="G95" s="18">
        <f ca="1">IFERROR(__xludf.DUMMYFUNCTION("""COMPUTED_VALUE"""),32840)</f>
        <v>32840</v>
      </c>
      <c r="H95" s="10">
        <v>1606</v>
      </c>
      <c r="I95" s="13">
        <v>45804</v>
      </c>
      <c r="J95" s="3" t="b">
        <v>1</v>
      </c>
    </row>
    <row r="96" spans="1:10" ht="14.4" x14ac:dyDescent="0.3">
      <c r="A96" s="10">
        <v>363778</v>
      </c>
      <c r="B96" s="11" t="s">
        <v>361</v>
      </c>
      <c r="C96" s="10" t="s">
        <v>81</v>
      </c>
      <c r="D96" s="10" t="s">
        <v>82</v>
      </c>
      <c r="E96" s="12" t="s">
        <v>362</v>
      </c>
      <c r="F96" s="10">
        <v>36616194</v>
      </c>
      <c r="G96" s="18">
        <f ca="1">IFERROR(__xludf.DUMMYFUNCTION("""COMPUTED_VALUE"""),36368)</f>
        <v>36368</v>
      </c>
      <c r="H96" s="10">
        <v>1606</v>
      </c>
      <c r="I96" s="13">
        <v>45804</v>
      </c>
      <c r="J96" s="3" t="b">
        <v>1</v>
      </c>
    </row>
    <row r="97" spans="1:10" ht="14.4" x14ac:dyDescent="0.3">
      <c r="A97" s="10">
        <v>361240</v>
      </c>
      <c r="B97" s="11" t="s">
        <v>363</v>
      </c>
      <c r="C97" s="10" t="s">
        <v>81</v>
      </c>
      <c r="D97" s="10" t="s">
        <v>82</v>
      </c>
      <c r="E97" s="12" t="s">
        <v>364</v>
      </c>
      <c r="F97" s="10">
        <v>361240</v>
      </c>
      <c r="G97" s="18">
        <f ca="1">IFERROR(__xludf.DUMMYFUNCTION("""COMPUTED_VALUE"""),37473)</f>
        <v>37473</v>
      </c>
      <c r="H97" s="10">
        <v>1606</v>
      </c>
      <c r="I97" s="13">
        <v>45804</v>
      </c>
      <c r="J97" s="3" t="b">
        <v>1</v>
      </c>
    </row>
    <row r="98" spans="1:10" ht="14.4" x14ac:dyDescent="0.3">
      <c r="A98" s="10">
        <v>351515</v>
      </c>
      <c r="B98" s="11" t="s">
        <v>365</v>
      </c>
      <c r="C98" s="10" t="s">
        <v>87</v>
      </c>
      <c r="D98" s="10" t="s">
        <v>82</v>
      </c>
      <c r="E98" s="12" t="s">
        <v>366</v>
      </c>
      <c r="F98" s="10" t="s">
        <v>367</v>
      </c>
      <c r="G98" s="18">
        <f ca="1">IFERROR(__xludf.DUMMYFUNCTION("""COMPUTED_VALUE"""),33297)</f>
        <v>33297</v>
      </c>
      <c r="H98" s="10">
        <v>1606</v>
      </c>
      <c r="I98" s="13">
        <v>45804</v>
      </c>
      <c r="J98" s="3" t="b">
        <v>1</v>
      </c>
    </row>
    <row r="99" spans="1:10" ht="14.4" x14ac:dyDescent="0.3">
      <c r="A99" s="10">
        <v>29723</v>
      </c>
      <c r="B99" s="11" t="s">
        <v>368</v>
      </c>
      <c r="C99" s="10" t="s">
        <v>81</v>
      </c>
      <c r="D99" s="10" t="s">
        <v>94</v>
      </c>
      <c r="E99" s="12" t="s">
        <v>369</v>
      </c>
      <c r="F99" s="10" t="s">
        <v>370</v>
      </c>
      <c r="G99" s="18">
        <f ca="1">IFERROR(__xludf.DUMMYFUNCTION("""COMPUTED_VALUE"""),28803)</f>
        <v>28803</v>
      </c>
      <c r="H99" s="10">
        <v>1606</v>
      </c>
      <c r="I99" s="13">
        <v>45804</v>
      </c>
      <c r="J99" s="3" t="b">
        <v>1</v>
      </c>
    </row>
    <row r="100" spans="1:10" ht="14.4" x14ac:dyDescent="0.3">
      <c r="A100" s="10">
        <v>98569</v>
      </c>
      <c r="B100" s="11" t="s">
        <v>371</v>
      </c>
      <c r="C100" s="10" t="s">
        <v>81</v>
      </c>
      <c r="D100" s="10" t="s">
        <v>94</v>
      </c>
      <c r="E100" s="12" t="s">
        <v>372</v>
      </c>
      <c r="F100" s="10">
        <v>15455235</v>
      </c>
      <c r="G100" s="18">
        <f ca="1">IFERROR(__xludf.DUMMYFUNCTION("""COMPUTED_VALUE"""),29837)</f>
        <v>29837</v>
      </c>
      <c r="H100" s="10">
        <v>1606</v>
      </c>
      <c r="I100" s="13">
        <v>45804</v>
      </c>
      <c r="J100" s="3" t="b">
        <v>1</v>
      </c>
    </row>
    <row r="101" spans="1:10" ht="14.4" x14ac:dyDescent="0.3">
      <c r="A101" s="10">
        <v>356685</v>
      </c>
      <c r="B101" s="11" t="s">
        <v>373</v>
      </c>
      <c r="C101" s="10" t="s">
        <v>81</v>
      </c>
      <c r="D101" s="10" t="s">
        <v>94</v>
      </c>
      <c r="E101" s="12" t="s">
        <v>374</v>
      </c>
      <c r="F101" s="10">
        <v>35114586</v>
      </c>
      <c r="G101" s="18">
        <f ca="1">IFERROR(__xludf.DUMMYFUNCTION("""COMPUTED_VALUE"""),35220)</f>
        <v>35220</v>
      </c>
      <c r="H101" s="10">
        <v>1606</v>
      </c>
      <c r="I101" s="13">
        <v>45804</v>
      </c>
      <c r="J101" s="3" t="b">
        <v>1</v>
      </c>
    </row>
    <row r="102" spans="1:10" ht="14.4" x14ac:dyDescent="0.3">
      <c r="A102" s="10">
        <v>98495</v>
      </c>
      <c r="B102" s="11" t="s">
        <v>375</v>
      </c>
      <c r="C102" s="10" t="s">
        <v>81</v>
      </c>
      <c r="D102" s="10" t="s">
        <v>376</v>
      </c>
      <c r="E102" s="12" t="s">
        <v>377</v>
      </c>
      <c r="F102" s="10" t="s">
        <v>378</v>
      </c>
      <c r="G102" s="18">
        <f ca="1">IFERROR(__xludf.DUMMYFUNCTION("""COMPUTED_VALUE"""),30578)</f>
        <v>30578</v>
      </c>
      <c r="H102" s="10">
        <v>1605</v>
      </c>
      <c r="I102" s="13">
        <v>45804</v>
      </c>
      <c r="J102" s="3" t="b">
        <v>1</v>
      </c>
    </row>
    <row r="103" spans="1:10" ht="14.4" x14ac:dyDescent="0.3">
      <c r="A103" s="10">
        <v>99590</v>
      </c>
      <c r="B103" s="11" t="s">
        <v>379</v>
      </c>
      <c r="C103" s="10" t="s">
        <v>81</v>
      </c>
      <c r="D103" s="10" t="s">
        <v>335</v>
      </c>
      <c r="E103" s="12" t="s">
        <v>380</v>
      </c>
      <c r="F103" s="10" t="s">
        <v>381</v>
      </c>
      <c r="G103" s="18">
        <f ca="1">IFERROR(__xludf.DUMMYFUNCTION("""COMPUTED_VALUE"""),30534)</f>
        <v>30534</v>
      </c>
      <c r="H103" s="10">
        <v>1605</v>
      </c>
      <c r="I103" s="13">
        <v>45804</v>
      </c>
      <c r="J103" s="3" t="b">
        <v>1</v>
      </c>
    </row>
    <row r="104" spans="1:10" ht="14.4" x14ac:dyDescent="0.3">
      <c r="A104" s="10">
        <v>359224</v>
      </c>
      <c r="B104" s="11" t="s">
        <v>382</v>
      </c>
      <c r="C104" s="10" t="s">
        <v>87</v>
      </c>
      <c r="D104" s="10" t="s">
        <v>335</v>
      </c>
      <c r="E104" s="12" t="s">
        <v>383</v>
      </c>
      <c r="F104" s="10">
        <v>268016</v>
      </c>
      <c r="G104" s="18">
        <f ca="1">IFERROR(__xludf.DUMMYFUNCTION("""COMPUTED_VALUE"""),31786)</f>
        <v>31786</v>
      </c>
      <c r="H104" s="10">
        <v>1605</v>
      </c>
      <c r="I104" s="13">
        <v>45804</v>
      </c>
      <c r="J104" s="3" t="b">
        <v>1</v>
      </c>
    </row>
    <row r="105" spans="1:10" ht="14.4" x14ac:dyDescent="0.3">
      <c r="A105" s="10">
        <v>10432</v>
      </c>
      <c r="B105" s="11" t="s">
        <v>384</v>
      </c>
      <c r="C105" s="10" t="s">
        <v>81</v>
      </c>
      <c r="D105" s="10" t="s">
        <v>335</v>
      </c>
      <c r="E105" s="12" t="s">
        <v>385</v>
      </c>
      <c r="F105" s="10" t="s">
        <v>386</v>
      </c>
      <c r="G105" s="18">
        <f ca="1">IFERROR(__xludf.DUMMYFUNCTION("""COMPUTED_VALUE"""),33394)</f>
        <v>33394</v>
      </c>
      <c r="H105" s="10">
        <v>1605</v>
      </c>
      <c r="I105" s="13">
        <v>45804</v>
      </c>
      <c r="J105" s="3" t="b">
        <v>1</v>
      </c>
    </row>
    <row r="106" spans="1:10" ht="14.4" x14ac:dyDescent="0.3">
      <c r="A106" s="10">
        <v>351516</v>
      </c>
      <c r="B106" s="11" t="s">
        <v>387</v>
      </c>
      <c r="C106" s="10" t="s">
        <v>87</v>
      </c>
      <c r="D106" s="10" t="s">
        <v>335</v>
      </c>
      <c r="E106" s="12" t="s">
        <v>388</v>
      </c>
      <c r="F106" s="10" t="s">
        <v>389</v>
      </c>
      <c r="G106" s="18">
        <f ca="1">IFERROR(__xludf.DUMMYFUNCTION("""COMPUTED_VALUE"""),32633)</f>
        <v>32633</v>
      </c>
      <c r="H106" s="10">
        <v>1605</v>
      </c>
      <c r="I106" s="13">
        <v>45804</v>
      </c>
      <c r="J106" s="3" t="b">
        <v>1</v>
      </c>
    </row>
    <row r="107" spans="1:10" ht="14.4" x14ac:dyDescent="0.3">
      <c r="A107" s="10">
        <v>99708</v>
      </c>
      <c r="B107" s="11" t="s">
        <v>390</v>
      </c>
      <c r="C107" s="10" t="s">
        <v>81</v>
      </c>
      <c r="D107" s="10" t="s">
        <v>335</v>
      </c>
      <c r="E107" s="12" t="s">
        <v>391</v>
      </c>
      <c r="F107" s="10" t="s">
        <v>392</v>
      </c>
      <c r="G107" s="18">
        <f ca="1">IFERROR(__xludf.DUMMYFUNCTION("""COMPUTED_VALUE"""),27042)</f>
        <v>27042</v>
      </c>
      <c r="H107" s="10">
        <v>1605</v>
      </c>
      <c r="I107" s="13">
        <v>45804</v>
      </c>
      <c r="J107" s="3" t="b">
        <v>1</v>
      </c>
    </row>
    <row r="108" spans="1:10" ht="14.4" x14ac:dyDescent="0.3">
      <c r="A108" s="10">
        <v>98486</v>
      </c>
      <c r="B108" s="11" t="s">
        <v>393</v>
      </c>
      <c r="C108" s="10" t="s">
        <v>81</v>
      </c>
      <c r="D108" s="10" t="s">
        <v>394</v>
      </c>
      <c r="E108" s="12" t="s">
        <v>395</v>
      </c>
      <c r="F108" s="10" t="s">
        <v>396</v>
      </c>
      <c r="G108" s="18">
        <f ca="1">IFERROR(__xludf.DUMMYFUNCTION("""COMPUTED_VALUE"""),28843)</f>
        <v>28843</v>
      </c>
      <c r="H108" s="10">
        <v>1605</v>
      </c>
      <c r="I108" s="13">
        <v>45804</v>
      </c>
      <c r="J108" s="3" t="b">
        <v>1</v>
      </c>
    </row>
    <row r="109" spans="1:10" ht="14.4" x14ac:dyDescent="0.3">
      <c r="A109" s="10">
        <v>98554</v>
      </c>
      <c r="B109" s="11" t="s">
        <v>397</v>
      </c>
      <c r="C109" s="10" t="s">
        <v>81</v>
      </c>
      <c r="D109" s="10" t="s">
        <v>398</v>
      </c>
      <c r="E109" s="12" t="s">
        <v>399</v>
      </c>
      <c r="F109" s="10" t="s">
        <v>400</v>
      </c>
      <c r="G109" s="18">
        <f ca="1">IFERROR(__xludf.DUMMYFUNCTION("""COMPUTED_VALUE"""),26492)</f>
        <v>26492</v>
      </c>
      <c r="H109" s="10">
        <v>1605</v>
      </c>
      <c r="I109" s="13">
        <v>45804</v>
      </c>
      <c r="J109" s="3" t="b">
        <v>1</v>
      </c>
    </row>
    <row r="110" spans="1:10" ht="14.4" x14ac:dyDescent="0.3">
      <c r="A110" s="10">
        <v>350482</v>
      </c>
      <c r="B110" s="11" t="s">
        <v>401</v>
      </c>
      <c r="C110" s="10" t="s">
        <v>81</v>
      </c>
      <c r="D110" s="10" t="s">
        <v>171</v>
      </c>
      <c r="E110" s="12" t="s">
        <v>402</v>
      </c>
      <c r="F110" s="10" t="s">
        <v>403</v>
      </c>
      <c r="G110" s="18">
        <f ca="1">IFERROR(__xludf.DUMMYFUNCTION("""COMPUTED_VALUE"""),32328)</f>
        <v>32328</v>
      </c>
      <c r="H110" s="10">
        <v>1605</v>
      </c>
      <c r="I110" s="13">
        <v>45804</v>
      </c>
      <c r="J110" s="3" t="b">
        <v>1</v>
      </c>
    </row>
    <row r="111" spans="1:10" ht="14.4" x14ac:dyDescent="0.3">
      <c r="A111" s="10">
        <v>358698</v>
      </c>
      <c r="B111" s="11" t="s">
        <v>404</v>
      </c>
      <c r="C111" s="10" t="s">
        <v>81</v>
      </c>
      <c r="D111" s="10" t="s">
        <v>171</v>
      </c>
      <c r="E111" s="12" t="s">
        <v>405</v>
      </c>
      <c r="F111" s="10">
        <v>29452028</v>
      </c>
      <c r="G111" s="18">
        <f ca="1">IFERROR(__xludf.DUMMYFUNCTION("""COMPUTED_VALUE"""),32223)</f>
        <v>32223</v>
      </c>
      <c r="H111" s="10">
        <v>1605</v>
      </c>
      <c r="I111" s="13">
        <v>45804</v>
      </c>
      <c r="J111" s="3" t="b">
        <v>1</v>
      </c>
    </row>
    <row r="112" spans="1:10" ht="14.4" x14ac:dyDescent="0.3">
      <c r="A112" s="10">
        <v>354718</v>
      </c>
      <c r="B112" s="11" t="s">
        <v>406</v>
      </c>
      <c r="C112" s="10" t="s">
        <v>81</v>
      </c>
      <c r="D112" s="10" t="s">
        <v>407</v>
      </c>
      <c r="E112" s="12" t="s">
        <v>408</v>
      </c>
      <c r="F112" s="10" t="s">
        <v>409</v>
      </c>
      <c r="G112" s="18">
        <f ca="1">IFERROR(__xludf.DUMMYFUNCTION("""COMPUTED_VALUE"""),29789)</f>
        <v>29789</v>
      </c>
      <c r="H112" s="10">
        <v>1605</v>
      </c>
      <c r="I112" s="13">
        <v>45804</v>
      </c>
      <c r="J112" s="3" t="b">
        <v>1</v>
      </c>
    </row>
    <row r="113" spans="1:10" ht="14.4" x14ac:dyDescent="0.3">
      <c r="A113" s="19">
        <v>364001</v>
      </c>
      <c r="B113" s="11" t="s">
        <v>410</v>
      </c>
      <c r="C113" s="10" t="s">
        <v>81</v>
      </c>
      <c r="D113" s="19" t="s">
        <v>82</v>
      </c>
      <c r="E113" s="15" t="s">
        <v>411</v>
      </c>
      <c r="F113" s="19">
        <v>41637315</v>
      </c>
      <c r="G113" s="18">
        <f ca="1">IFERROR(__xludf.DUMMYFUNCTION("""COMPUTED_VALUE"""),37258)</f>
        <v>37258</v>
      </c>
      <c r="H113" s="10">
        <v>1605</v>
      </c>
      <c r="I113" s="13">
        <v>45804</v>
      </c>
      <c r="J113" s="3" t="b">
        <v>1</v>
      </c>
    </row>
    <row r="114" spans="1:10" ht="14.4" x14ac:dyDescent="0.3">
      <c r="A114" s="19">
        <v>358223</v>
      </c>
      <c r="B114" s="11" t="s">
        <v>412</v>
      </c>
      <c r="C114" s="10" t="s">
        <v>81</v>
      </c>
      <c r="D114" s="19" t="s">
        <v>82</v>
      </c>
      <c r="E114" s="20" t="s">
        <v>413</v>
      </c>
      <c r="F114" s="21">
        <v>36535523</v>
      </c>
      <c r="G114" s="18">
        <f ca="1">IFERROR(__xludf.DUMMYFUNCTION("""COMPUTED_VALUE"""),35398)</f>
        <v>35398</v>
      </c>
      <c r="H114" s="10" t="s">
        <v>232</v>
      </c>
      <c r="I114" s="13">
        <v>45804</v>
      </c>
      <c r="J114" s="3" t="b">
        <v>1</v>
      </c>
    </row>
    <row r="115" spans="1:10" ht="14.4" x14ac:dyDescent="0.3">
      <c r="A115" s="19">
        <v>364003</v>
      </c>
      <c r="B115" s="11" t="s">
        <v>414</v>
      </c>
      <c r="C115" s="10" t="s">
        <v>81</v>
      </c>
      <c r="D115" s="19" t="s">
        <v>82</v>
      </c>
      <c r="E115" s="20" t="s">
        <v>415</v>
      </c>
      <c r="F115" s="21">
        <v>25363539</v>
      </c>
      <c r="G115" s="18">
        <f ca="1">IFERROR(__xludf.DUMMYFUNCTION("""COMPUTED_VALUE"""),38904)</f>
        <v>38904</v>
      </c>
      <c r="H115" s="10" t="s">
        <v>232</v>
      </c>
      <c r="I115" s="13">
        <v>45804</v>
      </c>
      <c r="J115" s="3" t="b">
        <v>1</v>
      </c>
    </row>
    <row r="116" spans="1:10" ht="14.4" x14ac:dyDescent="0.3">
      <c r="A116" s="19">
        <v>351398</v>
      </c>
      <c r="B116" s="11" t="s">
        <v>416</v>
      </c>
      <c r="C116" s="10" t="s">
        <v>81</v>
      </c>
      <c r="D116" s="19" t="s">
        <v>82</v>
      </c>
      <c r="E116" s="15" t="s">
        <v>417</v>
      </c>
      <c r="F116" s="19" t="s">
        <v>418</v>
      </c>
      <c r="G116" s="18">
        <f ca="1">IFERROR(__xludf.DUMMYFUNCTION("""COMPUTED_VALUE"""),33766)</f>
        <v>33766</v>
      </c>
      <c r="H116" s="10" t="s">
        <v>232</v>
      </c>
      <c r="I116" s="13">
        <v>45804</v>
      </c>
      <c r="J116" s="3" t="b">
        <v>1</v>
      </c>
    </row>
    <row r="117" spans="1:10" ht="14.4" x14ac:dyDescent="0.3">
      <c r="A117" s="19">
        <v>363999</v>
      </c>
      <c r="B117" s="11" t="s">
        <v>419</v>
      </c>
      <c r="C117" s="10" t="s">
        <v>81</v>
      </c>
      <c r="D117" s="19" t="s">
        <v>82</v>
      </c>
      <c r="E117" s="15" t="s">
        <v>420</v>
      </c>
      <c r="F117" s="19" t="s">
        <v>421</v>
      </c>
      <c r="G117" s="18">
        <f ca="1">IFERROR(__xludf.DUMMYFUNCTION("""COMPUTED_VALUE"""),38749)</f>
        <v>38749</v>
      </c>
      <c r="H117" s="10" t="s">
        <v>232</v>
      </c>
      <c r="I117" s="13">
        <v>45804</v>
      </c>
      <c r="J117" s="3" t="b">
        <v>1</v>
      </c>
    </row>
    <row r="118" spans="1:10" ht="14.4" x14ac:dyDescent="0.3">
      <c r="A118" s="19">
        <v>364007</v>
      </c>
      <c r="B118" s="11" t="s">
        <v>422</v>
      </c>
      <c r="C118" s="10" t="s">
        <v>81</v>
      </c>
      <c r="D118" s="19" t="s">
        <v>82</v>
      </c>
      <c r="E118" s="20" t="s">
        <v>423</v>
      </c>
      <c r="F118" s="21">
        <v>43774351</v>
      </c>
      <c r="G118" s="18">
        <f ca="1">IFERROR(__xludf.DUMMYFUNCTION("""COMPUTED_VALUE"""),38626)</f>
        <v>38626</v>
      </c>
      <c r="H118" s="10" t="s">
        <v>232</v>
      </c>
      <c r="I118" s="13">
        <v>45804</v>
      </c>
      <c r="J118" s="3" t="b">
        <v>1</v>
      </c>
    </row>
    <row r="119" spans="1:10" ht="14.4" x14ac:dyDescent="0.3">
      <c r="A119" s="19">
        <v>363995</v>
      </c>
      <c r="B119" s="11" t="s">
        <v>424</v>
      </c>
      <c r="C119" s="10" t="s">
        <v>81</v>
      </c>
      <c r="D119" s="19" t="s">
        <v>82</v>
      </c>
      <c r="E119" s="20" t="s">
        <v>425</v>
      </c>
      <c r="F119" s="21">
        <v>37786180</v>
      </c>
      <c r="G119" s="18">
        <f ca="1">IFERROR(__xludf.DUMMYFUNCTION("""COMPUTED_VALUE"""),36428)</f>
        <v>36428</v>
      </c>
      <c r="H119" s="10" t="s">
        <v>232</v>
      </c>
      <c r="I119" s="13">
        <v>45804</v>
      </c>
      <c r="J119" s="3" t="b">
        <v>1</v>
      </c>
    </row>
    <row r="120" spans="1:10" ht="14.4" x14ac:dyDescent="0.3">
      <c r="A120" s="19">
        <v>363993</v>
      </c>
      <c r="B120" s="11" t="s">
        <v>426</v>
      </c>
      <c r="C120" s="10" t="s">
        <v>87</v>
      </c>
      <c r="D120" s="19" t="s">
        <v>82</v>
      </c>
      <c r="E120" s="15" t="s">
        <v>427</v>
      </c>
      <c r="F120" s="19" t="s">
        <v>428</v>
      </c>
      <c r="G120" s="18" t="str">
        <f ca="1">IFERROR(__xludf.DUMMYFUNCTION("""COMPUTED_VALUE"""),"")</f>
        <v/>
      </c>
      <c r="H120" s="10" t="s">
        <v>232</v>
      </c>
      <c r="I120" s="13">
        <v>45804</v>
      </c>
      <c r="J120" s="3" t="b">
        <v>1</v>
      </c>
    </row>
    <row r="121" spans="1:10" ht="14.4" x14ac:dyDescent="0.3">
      <c r="A121" s="19">
        <v>364612</v>
      </c>
      <c r="B121" s="11" t="s">
        <v>429</v>
      </c>
      <c r="C121" s="10" t="s">
        <v>81</v>
      </c>
      <c r="D121" s="19" t="s">
        <v>82</v>
      </c>
      <c r="E121" s="18"/>
      <c r="F121" s="22"/>
      <c r="G121" s="18" t="str">
        <f ca="1">IFERROR(__xludf.DUMMYFUNCTION("""COMPUTED_VALUE"""),"")</f>
        <v/>
      </c>
      <c r="H121" s="10" t="s">
        <v>85</v>
      </c>
      <c r="I121" s="13">
        <v>45804</v>
      </c>
      <c r="J121" s="3" t="b">
        <v>1</v>
      </c>
    </row>
    <row r="122" spans="1:10" ht="14.4" x14ac:dyDescent="0.3">
      <c r="A122" s="19">
        <v>364789</v>
      </c>
      <c r="B122" s="11" t="s">
        <v>430</v>
      </c>
      <c r="C122" s="10" t="s">
        <v>87</v>
      </c>
      <c r="D122" s="19" t="s">
        <v>82</v>
      </c>
      <c r="E122" s="18"/>
      <c r="F122" s="22"/>
      <c r="G122" s="18" t="str">
        <f ca="1">IFERROR(__xludf.DUMMYFUNCTION("""COMPUTED_VALUE"""),"")</f>
        <v/>
      </c>
      <c r="H122" s="10" t="s">
        <v>85</v>
      </c>
      <c r="I122" s="13">
        <v>45804</v>
      </c>
      <c r="J122" s="3" t="b">
        <v>1</v>
      </c>
    </row>
    <row r="123" spans="1:10" ht="14.4" x14ac:dyDescent="0.3">
      <c r="A123" s="19">
        <v>364784</v>
      </c>
      <c r="B123" s="11" t="s">
        <v>431</v>
      </c>
      <c r="C123" s="10" t="s">
        <v>81</v>
      </c>
      <c r="D123" s="19" t="s">
        <v>82</v>
      </c>
      <c r="E123" s="18"/>
      <c r="F123" s="22"/>
      <c r="G123" s="18" t="str">
        <f ca="1">IFERROR(__xludf.DUMMYFUNCTION("""COMPUTED_VALUE"""),"")</f>
        <v/>
      </c>
      <c r="H123" s="10" t="s">
        <v>85</v>
      </c>
      <c r="I123" s="13">
        <v>45804</v>
      </c>
      <c r="J123" s="3" t="b">
        <v>1</v>
      </c>
    </row>
    <row r="124" spans="1:10" ht="14.4" x14ac:dyDescent="0.3">
      <c r="A124" s="19">
        <v>364783</v>
      </c>
      <c r="B124" s="11" t="s">
        <v>432</v>
      </c>
      <c r="C124" s="10" t="s">
        <v>81</v>
      </c>
      <c r="D124" s="19" t="s">
        <v>82</v>
      </c>
      <c r="E124" s="23" t="s">
        <v>433</v>
      </c>
      <c r="F124" s="19">
        <v>39344696</v>
      </c>
      <c r="G124" s="18">
        <f ca="1">IFERROR(__xludf.DUMMYFUNCTION("""COMPUTED_VALUE"""),36546)</f>
        <v>36546</v>
      </c>
      <c r="H124" s="10" t="s">
        <v>85</v>
      </c>
      <c r="I124" s="13">
        <v>45804</v>
      </c>
      <c r="J124" s="3" t="b">
        <v>1</v>
      </c>
    </row>
    <row r="125" spans="1:10" ht="14.4" x14ac:dyDescent="0.3">
      <c r="A125" s="19">
        <v>364787</v>
      </c>
      <c r="B125" s="11" t="s">
        <v>434</v>
      </c>
      <c r="C125" s="10" t="s">
        <v>87</v>
      </c>
      <c r="D125" s="19" t="s">
        <v>82</v>
      </c>
      <c r="E125" s="18"/>
      <c r="F125" s="22"/>
      <c r="G125" s="18" t="str">
        <f ca="1">IFERROR(__xludf.DUMMYFUNCTION("""COMPUTED_VALUE"""),"")</f>
        <v/>
      </c>
      <c r="H125" s="10" t="s">
        <v>85</v>
      </c>
      <c r="I125" s="13">
        <v>45804</v>
      </c>
      <c r="J125" s="3" t="b">
        <v>1</v>
      </c>
    </row>
    <row r="126" spans="1:10" ht="14.4" x14ac:dyDescent="0.3">
      <c r="A126" s="19">
        <v>364781</v>
      </c>
      <c r="B126" s="11" t="s">
        <v>435</v>
      </c>
      <c r="C126" s="10" t="s">
        <v>87</v>
      </c>
      <c r="D126" s="19" t="s">
        <v>82</v>
      </c>
      <c r="E126" s="18"/>
      <c r="F126" s="22"/>
      <c r="G126" s="18" t="str">
        <f ca="1">IFERROR(__xludf.DUMMYFUNCTION("""COMPUTED_VALUE"""),"")</f>
        <v/>
      </c>
      <c r="H126" s="10" t="s">
        <v>85</v>
      </c>
      <c r="I126" s="13">
        <v>45804</v>
      </c>
      <c r="J126" s="3" t="b">
        <v>1</v>
      </c>
    </row>
    <row r="127" spans="1:10" ht="14.4" x14ac:dyDescent="0.3">
      <c r="A127" s="19">
        <v>364846</v>
      </c>
      <c r="B127" s="11" t="s">
        <v>436</v>
      </c>
      <c r="C127" s="10" t="s">
        <v>87</v>
      </c>
      <c r="D127" s="19" t="s">
        <v>82</v>
      </c>
      <c r="E127" s="18"/>
      <c r="F127" s="22"/>
      <c r="G127" s="18" t="str">
        <f ca="1">IFERROR(__xludf.DUMMYFUNCTION("""COMPUTED_VALUE"""),"")</f>
        <v/>
      </c>
      <c r="H127" s="10" t="s">
        <v>85</v>
      </c>
      <c r="I127" s="13">
        <v>45804</v>
      </c>
      <c r="J127" s="3" t="b">
        <v>1</v>
      </c>
    </row>
    <row r="128" spans="1:10" ht="14.4" x14ac:dyDescent="0.3">
      <c r="A128" s="19">
        <v>364850</v>
      </c>
      <c r="B128" s="11" t="s">
        <v>437</v>
      </c>
      <c r="C128" s="10" t="s">
        <v>81</v>
      </c>
      <c r="D128" s="19" t="s">
        <v>82</v>
      </c>
      <c r="E128" s="18"/>
      <c r="F128" s="22"/>
      <c r="G128" s="18" t="str">
        <f ca="1">IFERROR(__xludf.DUMMYFUNCTION("""COMPUTED_VALUE"""),"")</f>
        <v/>
      </c>
      <c r="H128" s="10" t="s">
        <v>85</v>
      </c>
      <c r="I128" s="13">
        <v>45804</v>
      </c>
      <c r="J128" s="3" t="b">
        <v>1</v>
      </c>
    </row>
    <row r="129" spans="1:10" ht="14.4" x14ac:dyDescent="0.3">
      <c r="A129" s="19">
        <v>352374</v>
      </c>
      <c r="B129" s="11" t="s">
        <v>438</v>
      </c>
      <c r="C129" s="10" t="s">
        <v>81</v>
      </c>
      <c r="D129" s="19" t="s">
        <v>82</v>
      </c>
      <c r="E129" s="18"/>
      <c r="F129" s="22"/>
      <c r="G129" s="18" t="str">
        <f ca="1">IFERROR(__xludf.DUMMYFUNCTION("""COMPUTED_VALUE"""),"")</f>
        <v/>
      </c>
      <c r="H129" s="10" t="s">
        <v>85</v>
      </c>
      <c r="I129" s="13">
        <v>45804</v>
      </c>
      <c r="J129" s="3" t="b">
        <v>1</v>
      </c>
    </row>
    <row r="130" spans="1:10" ht="14.4" x14ac:dyDescent="0.3">
      <c r="A130" s="19">
        <v>359072</v>
      </c>
      <c r="B130" s="11" t="s">
        <v>439</v>
      </c>
      <c r="C130" s="10" t="s">
        <v>81</v>
      </c>
      <c r="D130" s="19" t="s">
        <v>82</v>
      </c>
      <c r="E130" s="18"/>
      <c r="F130" s="22"/>
      <c r="G130" s="18" t="str">
        <f ca="1">IFERROR(__xludf.DUMMYFUNCTION("""COMPUTED_VALUE"""),"")</f>
        <v/>
      </c>
      <c r="H130" s="10" t="s">
        <v>85</v>
      </c>
      <c r="I130" s="13">
        <v>45804</v>
      </c>
      <c r="J130" s="3" t="b">
        <v>1</v>
      </c>
    </row>
    <row r="131" spans="1:10" ht="14.4" x14ac:dyDescent="0.3">
      <c r="A131" s="19">
        <v>364834</v>
      </c>
      <c r="B131" s="11" t="s">
        <v>440</v>
      </c>
      <c r="C131" s="10" t="s">
        <v>87</v>
      </c>
      <c r="D131" s="19" t="s">
        <v>82</v>
      </c>
      <c r="E131" s="18"/>
      <c r="F131" s="22"/>
      <c r="G131" s="18" t="str">
        <f ca="1">IFERROR(__xludf.DUMMYFUNCTION("""COMPUTED_VALUE"""),"")</f>
        <v/>
      </c>
      <c r="H131" s="10" t="s">
        <v>85</v>
      </c>
      <c r="I131" s="13">
        <v>45804</v>
      </c>
      <c r="J131" s="3" t="b">
        <v>1</v>
      </c>
    </row>
    <row r="132" spans="1:10" ht="14.4" x14ac:dyDescent="0.3">
      <c r="A132" s="19">
        <v>364841</v>
      </c>
      <c r="B132" s="11" t="s">
        <v>441</v>
      </c>
      <c r="C132" s="10" t="s">
        <v>87</v>
      </c>
      <c r="D132" s="19" t="s">
        <v>82</v>
      </c>
      <c r="E132" s="18"/>
      <c r="F132" s="22"/>
      <c r="G132" s="18" t="str">
        <f ca="1">IFERROR(__xludf.DUMMYFUNCTION("""COMPUTED_VALUE"""),"")</f>
        <v/>
      </c>
      <c r="H132" s="10" t="s">
        <v>85</v>
      </c>
      <c r="I132" s="13">
        <v>45804</v>
      </c>
      <c r="J132" s="3" t="b">
        <v>1</v>
      </c>
    </row>
    <row r="133" spans="1:10" ht="14.4" x14ac:dyDescent="0.3">
      <c r="A133" s="19">
        <v>364848</v>
      </c>
      <c r="B133" s="11" t="s">
        <v>442</v>
      </c>
      <c r="C133" s="10" t="s">
        <v>87</v>
      </c>
      <c r="D133" s="19" t="s">
        <v>82</v>
      </c>
      <c r="E133" s="18"/>
      <c r="F133" s="22"/>
      <c r="G133" s="18" t="str">
        <f ca="1">IFERROR(__xludf.DUMMYFUNCTION("""COMPUTED_VALUE"""),"")</f>
        <v/>
      </c>
      <c r="H133" s="10" t="s">
        <v>85</v>
      </c>
      <c r="I133" s="13">
        <v>45804</v>
      </c>
      <c r="J133" s="3" t="b">
        <v>1</v>
      </c>
    </row>
    <row r="134" spans="1:10" ht="14.4" x14ac:dyDescent="0.3">
      <c r="A134" s="19">
        <v>364843</v>
      </c>
      <c r="B134" s="11" t="s">
        <v>443</v>
      </c>
      <c r="C134" s="10" t="s">
        <v>87</v>
      </c>
      <c r="D134" s="19" t="s">
        <v>82</v>
      </c>
      <c r="E134" s="18"/>
      <c r="F134" s="22"/>
      <c r="G134" s="18" t="str">
        <f ca="1">IFERROR(__xludf.DUMMYFUNCTION("""COMPUTED_VALUE"""),"")</f>
        <v/>
      </c>
      <c r="H134" s="10" t="s">
        <v>85</v>
      </c>
      <c r="I134" s="13">
        <v>45804</v>
      </c>
      <c r="J134" s="3" t="b">
        <v>1</v>
      </c>
    </row>
    <row r="135" spans="1:10" ht="14.4" x14ac:dyDescent="0.3">
      <c r="A135" s="19">
        <v>364839</v>
      </c>
      <c r="B135" s="11" t="s">
        <v>444</v>
      </c>
      <c r="C135" s="10" t="s">
        <v>87</v>
      </c>
      <c r="D135" s="19" t="s">
        <v>82</v>
      </c>
      <c r="E135" s="18"/>
      <c r="F135" s="22"/>
      <c r="G135" s="18" t="str">
        <f ca="1">IFERROR(__xludf.DUMMYFUNCTION("""COMPUTED_VALUE"""),"")</f>
        <v/>
      </c>
      <c r="H135" s="10" t="s">
        <v>85</v>
      </c>
      <c r="I135" s="13">
        <v>45804</v>
      </c>
      <c r="J135" s="3" t="b">
        <v>1</v>
      </c>
    </row>
    <row r="136" spans="1:10" ht="14.4" x14ac:dyDescent="0.3">
      <c r="A136" s="19">
        <v>364845</v>
      </c>
      <c r="B136" s="11" t="s">
        <v>445</v>
      </c>
      <c r="C136" s="10" t="s">
        <v>87</v>
      </c>
      <c r="D136" s="19" t="s">
        <v>82</v>
      </c>
      <c r="E136" s="18"/>
      <c r="F136" s="22"/>
      <c r="G136" s="18" t="str">
        <f ca="1">IFERROR(__xludf.DUMMYFUNCTION("""COMPUTED_VALUE"""),"")</f>
        <v/>
      </c>
      <c r="H136" s="10" t="s">
        <v>85</v>
      </c>
      <c r="I136" s="13">
        <v>45804</v>
      </c>
      <c r="J136" s="3" t="b">
        <v>1</v>
      </c>
    </row>
    <row r="137" spans="1:10" ht="14.4" x14ac:dyDescent="0.3">
      <c r="A137" s="19">
        <v>364835</v>
      </c>
      <c r="B137" s="11" t="s">
        <v>446</v>
      </c>
      <c r="C137" s="10" t="s">
        <v>87</v>
      </c>
      <c r="D137" s="19" t="s">
        <v>82</v>
      </c>
      <c r="E137" s="18"/>
      <c r="F137" s="22"/>
      <c r="G137" s="18" t="str">
        <f ca="1">IFERROR(__xludf.DUMMYFUNCTION("""COMPUTED_VALUE"""),"")</f>
        <v/>
      </c>
      <c r="H137" s="10" t="s">
        <v>85</v>
      </c>
      <c r="I137" s="13">
        <v>45804</v>
      </c>
      <c r="J137" s="3" t="b">
        <v>1</v>
      </c>
    </row>
    <row r="138" spans="1:10" ht="14.4" x14ac:dyDescent="0.3">
      <c r="A138" s="19">
        <v>361152</v>
      </c>
      <c r="B138" s="24" t="s">
        <v>447</v>
      </c>
      <c r="C138" s="10" t="s">
        <v>81</v>
      </c>
      <c r="D138" s="19" t="s">
        <v>82</v>
      </c>
      <c r="E138" s="18"/>
      <c r="F138" s="22"/>
      <c r="G138" s="15" t="str">
        <f ca="1">IFERROR(__xludf.DUMMYFUNCTION("""COMPUTED_VALUE"""),"")</f>
        <v/>
      </c>
      <c r="H138" s="10" t="s">
        <v>448</v>
      </c>
      <c r="I138" s="13">
        <v>46169</v>
      </c>
      <c r="J138" s="3" t="b">
        <v>1</v>
      </c>
    </row>
    <row r="139" spans="1:10" ht="14.4" x14ac:dyDescent="0.3">
      <c r="A139" s="19">
        <v>365536</v>
      </c>
      <c r="B139" s="24" t="s">
        <v>449</v>
      </c>
      <c r="C139" s="10" t="s">
        <v>81</v>
      </c>
      <c r="D139" s="19" t="s">
        <v>82</v>
      </c>
      <c r="E139" s="18"/>
      <c r="F139" s="22"/>
      <c r="G139" s="15" t="str">
        <f ca="1">IFERROR(__xludf.DUMMYFUNCTION("""COMPUTED_VALUE"""),"")</f>
        <v/>
      </c>
      <c r="H139" s="10" t="s">
        <v>448</v>
      </c>
      <c r="I139" s="13">
        <v>46169</v>
      </c>
      <c r="J139" s="3" t="b">
        <v>1</v>
      </c>
    </row>
    <row r="140" spans="1:10" ht="14.4" x14ac:dyDescent="0.3">
      <c r="A140" s="19">
        <v>363274</v>
      </c>
      <c r="B140" s="24" t="s">
        <v>450</v>
      </c>
      <c r="C140" s="10" t="s">
        <v>81</v>
      </c>
      <c r="D140" s="19" t="s">
        <v>82</v>
      </c>
      <c r="E140" s="18"/>
      <c r="F140" s="22"/>
      <c r="G140" s="15" t="str">
        <f ca="1">IFERROR(__xludf.DUMMYFUNCTION("""COMPUTED_VALUE"""),"")</f>
        <v/>
      </c>
      <c r="H140" s="10" t="s">
        <v>448</v>
      </c>
      <c r="I140" s="13">
        <v>46169</v>
      </c>
      <c r="J140" s="3" t="b">
        <v>1</v>
      </c>
    </row>
    <row r="141" spans="1:10" ht="14.4" x14ac:dyDescent="0.3">
      <c r="A141" s="19">
        <v>363801</v>
      </c>
      <c r="B141" s="24" t="s">
        <v>451</v>
      </c>
      <c r="C141" s="10" t="s">
        <v>81</v>
      </c>
      <c r="D141" s="19" t="s">
        <v>82</v>
      </c>
      <c r="E141" s="18"/>
      <c r="F141" s="22"/>
      <c r="G141" s="15" t="str">
        <f ca="1">IFERROR(__xludf.DUMMYFUNCTION("""COMPUTED_VALUE"""),"")</f>
        <v/>
      </c>
      <c r="H141" s="10" t="s">
        <v>448</v>
      </c>
      <c r="I141" s="13">
        <v>46169</v>
      </c>
      <c r="J141" s="3" t="b">
        <v>1</v>
      </c>
    </row>
    <row r="142" spans="1:10" ht="14.4" x14ac:dyDescent="0.3">
      <c r="A142" s="19">
        <v>359728</v>
      </c>
      <c r="B142" s="24" t="s">
        <v>452</v>
      </c>
      <c r="C142" s="10" t="s">
        <v>81</v>
      </c>
      <c r="D142" s="19" t="s">
        <v>82</v>
      </c>
      <c r="E142" s="18"/>
      <c r="F142" s="22"/>
      <c r="G142" s="15" t="str">
        <f ca="1">IFERROR(__xludf.DUMMYFUNCTION("""COMPUTED_VALUE"""),"")</f>
        <v/>
      </c>
      <c r="H142" s="10" t="s">
        <v>448</v>
      </c>
      <c r="I142" s="13">
        <v>46169</v>
      </c>
      <c r="J142" s="3" t="b">
        <v>1</v>
      </c>
    </row>
    <row r="143" spans="1:10" ht="14.4" x14ac:dyDescent="0.3">
      <c r="A143" s="19">
        <v>365533</v>
      </c>
      <c r="B143" s="24" t="s">
        <v>453</v>
      </c>
      <c r="C143" s="10" t="s">
        <v>81</v>
      </c>
      <c r="D143" s="19" t="s">
        <v>82</v>
      </c>
      <c r="E143" s="18"/>
      <c r="F143" s="22"/>
      <c r="G143" s="15" t="str">
        <f ca="1">IFERROR(__xludf.DUMMYFUNCTION("""COMPUTED_VALUE"""),"")</f>
        <v/>
      </c>
      <c r="H143" s="10" t="s">
        <v>448</v>
      </c>
      <c r="I143" s="13">
        <v>46169</v>
      </c>
      <c r="J143" s="3" t="b">
        <v>1</v>
      </c>
    </row>
    <row r="144" spans="1:10" ht="14.4" x14ac:dyDescent="0.3">
      <c r="A144" s="19">
        <v>363771</v>
      </c>
      <c r="B144" s="24" t="s">
        <v>454</v>
      </c>
      <c r="C144" s="10" t="s">
        <v>81</v>
      </c>
      <c r="D144" s="19" t="s">
        <v>82</v>
      </c>
      <c r="E144" s="18"/>
      <c r="F144" s="22"/>
      <c r="G144" s="15" t="str">
        <f ca="1">IFERROR(__xludf.DUMMYFUNCTION("""COMPUTED_VALUE"""),"")</f>
        <v/>
      </c>
      <c r="H144" s="10" t="s">
        <v>448</v>
      </c>
      <c r="I144" s="13">
        <v>46169</v>
      </c>
      <c r="J144" s="3" t="b">
        <v>1</v>
      </c>
    </row>
    <row r="145" spans="1:10" ht="14.4" x14ac:dyDescent="0.3">
      <c r="A145" s="19">
        <v>365539</v>
      </c>
      <c r="B145" s="24" t="s">
        <v>455</v>
      </c>
      <c r="C145" s="10" t="s">
        <v>81</v>
      </c>
      <c r="D145" s="19" t="s">
        <v>82</v>
      </c>
      <c r="E145" s="18"/>
      <c r="F145" s="22"/>
      <c r="G145" s="15" t="str">
        <f ca="1">IFERROR(__xludf.DUMMYFUNCTION("""COMPUTED_VALUE"""),"")</f>
        <v/>
      </c>
      <c r="H145" s="10" t="s">
        <v>448</v>
      </c>
      <c r="I145" s="13">
        <v>46169</v>
      </c>
      <c r="J145" s="3" t="b">
        <v>1</v>
      </c>
    </row>
    <row r="146" spans="1:10" ht="14.4" x14ac:dyDescent="0.3">
      <c r="A146" s="19">
        <v>364785</v>
      </c>
      <c r="B146" s="24" t="s">
        <v>456</v>
      </c>
      <c r="C146" s="10" t="s">
        <v>81</v>
      </c>
      <c r="D146" s="19" t="s">
        <v>82</v>
      </c>
      <c r="E146" s="18"/>
      <c r="F146" s="22"/>
      <c r="G146" s="15" t="str">
        <f ca="1">IFERROR(__xludf.DUMMYFUNCTION("""COMPUTED_VALUE"""),"")</f>
        <v/>
      </c>
      <c r="H146" s="10" t="s">
        <v>448</v>
      </c>
      <c r="I146" s="13">
        <v>46169</v>
      </c>
      <c r="J146" s="3" t="b">
        <v>1</v>
      </c>
    </row>
    <row r="147" spans="1:10" ht="14.4" x14ac:dyDescent="0.3">
      <c r="A147" s="19">
        <v>365542</v>
      </c>
      <c r="B147" s="24" t="s">
        <v>457</v>
      </c>
      <c r="C147" s="10" t="s">
        <v>87</v>
      </c>
      <c r="D147" s="19" t="s">
        <v>82</v>
      </c>
      <c r="E147" s="18"/>
      <c r="F147" s="22"/>
      <c r="G147" s="15" t="str">
        <f ca="1">IFERROR(__xludf.DUMMYFUNCTION("""COMPUTED_VALUE"""),"")</f>
        <v/>
      </c>
      <c r="H147" s="10" t="s">
        <v>232</v>
      </c>
      <c r="I147" s="13">
        <v>46169</v>
      </c>
      <c r="J147" s="3" t="b">
        <v>1</v>
      </c>
    </row>
    <row r="148" spans="1:10" ht="14.4" x14ac:dyDescent="0.3">
      <c r="A148" s="19">
        <v>365535</v>
      </c>
      <c r="B148" s="24" t="s">
        <v>458</v>
      </c>
      <c r="C148" s="10" t="s">
        <v>87</v>
      </c>
      <c r="D148" s="19" t="s">
        <v>82</v>
      </c>
      <c r="E148" s="18"/>
      <c r="F148" s="22"/>
      <c r="G148" s="15" t="str">
        <f ca="1">IFERROR(__xludf.DUMMYFUNCTION("""COMPUTED_VALUE"""),"")</f>
        <v/>
      </c>
      <c r="H148" s="10" t="s">
        <v>232</v>
      </c>
      <c r="I148" s="13">
        <v>46169</v>
      </c>
      <c r="J148" s="3" t="b">
        <v>1</v>
      </c>
    </row>
    <row r="149" spans="1:10" ht="14.4" x14ac:dyDescent="0.3">
      <c r="A149" s="19">
        <v>365534</v>
      </c>
      <c r="B149" s="24" t="s">
        <v>459</v>
      </c>
      <c r="C149" s="10" t="s">
        <v>87</v>
      </c>
      <c r="D149" s="19" t="s">
        <v>82</v>
      </c>
      <c r="E149" s="18"/>
      <c r="F149" s="22"/>
      <c r="G149" s="15" t="str">
        <f ca="1">IFERROR(__xludf.DUMMYFUNCTION("""COMPUTED_VALUE"""),"")</f>
        <v/>
      </c>
      <c r="H149" s="10" t="s">
        <v>232</v>
      </c>
      <c r="I149" s="13">
        <v>46169</v>
      </c>
      <c r="J149" s="3" t="b">
        <v>1</v>
      </c>
    </row>
    <row r="150" spans="1:10" ht="14.4" x14ac:dyDescent="0.3">
      <c r="A150" s="19">
        <v>365530</v>
      </c>
      <c r="B150" s="24" t="s">
        <v>460</v>
      </c>
      <c r="C150" s="10" t="s">
        <v>87</v>
      </c>
      <c r="D150" s="19" t="s">
        <v>82</v>
      </c>
      <c r="E150" s="18"/>
      <c r="F150" s="22"/>
      <c r="G150" s="15" t="str">
        <f ca="1">IFERROR(__xludf.DUMMYFUNCTION("""COMPUTED_VALUE"""),"")</f>
        <v/>
      </c>
      <c r="H150" s="10" t="s">
        <v>232</v>
      </c>
      <c r="I150" s="13">
        <v>46169</v>
      </c>
      <c r="J150" s="3" t="b">
        <v>1</v>
      </c>
    </row>
    <row r="151" spans="1:10" ht="14.4" x14ac:dyDescent="0.3">
      <c r="A151" s="19">
        <v>365532</v>
      </c>
      <c r="B151" s="24" t="s">
        <v>461</v>
      </c>
      <c r="C151" s="10" t="s">
        <v>87</v>
      </c>
      <c r="D151" s="19" t="s">
        <v>82</v>
      </c>
      <c r="E151" s="18"/>
      <c r="F151" s="22"/>
      <c r="G151" s="15" t="str">
        <f ca="1">IFERROR(__xludf.DUMMYFUNCTION("""COMPUTED_VALUE"""),"")</f>
        <v/>
      </c>
      <c r="H151" s="10" t="s">
        <v>232</v>
      </c>
      <c r="I151" s="13">
        <v>46169</v>
      </c>
      <c r="J151" s="3" t="b">
        <v>1</v>
      </c>
    </row>
    <row r="152" spans="1:10" ht="14.4" x14ac:dyDescent="0.3">
      <c r="A152" s="19">
        <v>365531</v>
      </c>
      <c r="B152" s="24" t="s">
        <v>462</v>
      </c>
      <c r="C152" s="10" t="s">
        <v>87</v>
      </c>
      <c r="D152" s="19" t="s">
        <v>82</v>
      </c>
      <c r="E152" s="18"/>
      <c r="F152" s="22"/>
      <c r="G152" s="15" t="str">
        <f ca="1">IFERROR(__xludf.DUMMYFUNCTION("""COMPUTED_VALUE"""),"")</f>
        <v/>
      </c>
      <c r="H152" s="10" t="s">
        <v>232</v>
      </c>
      <c r="I152" s="13">
        <v>46169</v>
      </c>
      <c r="J152" s="3" t="b">
        <v>1</v>
      </c>
    </row>
    <row r="153" spans="1:10" ht="14.4" x14ac:dyDescent="0.3">
      <c r="A153" s="19">
        <v>365538</v>
      </c>
      <c r="B153" s="24" t="s">
        <v>463</v>
      </c>
      <c r="C153" s="10" t="s">
        <v>87</v>
      </c>
      <c r="D153" s="19" t="s">
        <v>82</v>
      </c>
      <c r="E153" s="18"/>
      <c r="F153" s="22"/>
      <c r="G153" s="15" t="str">
        <f ca="1">IFERROR(__xludf.DUMMYFUNCTION("""COMPUTED_VALUE"""),"")</f>
        <v/>
      </c>
      <c r="H153" s="10" t="s">
        <v>232</v>
      </c>
      <c r="I153" s="13">
        <v>46169</v>
      </c>
      <c r="J153" s="3" t="b">
        <v>1</v>
      </c>
    </row>
    <row r="154" spans="1:10" ht="14.4" x14ac:dyDescent="0.3">
      <c r="A154" s="19">
        <v>365540</v>
      </c>
      <c r="B154" s="24" t="s">
        <v>464</v>
      </c>
      <c r="C154" s="10" t="s">
        <v>87</v>
      </c>
      <c r="D154" s="19" t="s">
        <v>82</v>
      </c>
      <c r="E154" s="18"/>
      <c r="F154" s="22"/>
      <c r="G154" s="15" t="str">
        <f ca="1">IFERROR(__xludf.DUMMYFUNCTION("""COMPUTED_VALUE"""),"")</f>
        <v/>
      </c>
      <c r="H154" s="10" t="s">
        <v>232</v>
      </c>
      <c r="I154" s="13">
        <v>46169</v>
      </c>
      <c r="J154" s="3" t="b">
        <v>1</v>
      </c>
    </row>
    <row r="155" spans="1:10" ht="14.4" x14ac:dyDescent="0.3">
      <c r="A155" s="25">
        <v>365549</v>
      </c>
      <c r="B155" s="3" t="s">
        <v>465</v>
      </c>
      <c r="C155" s="10" t="s">
        <v>81</v>
      </c>
      <c r="D155" s="19" t="s">
        <v>82</v>
      </c>
      <c r="G155" s="4" t="str">
        <f ca="1">IFERROR(__xludf.DUMMYFUNCTION("""COMPUTED_VALUE"""),"")</f>
        <v/>
      </c>
      <c r="H155" s="10" t="s">
        <v>232</v>
      </c>
      <c r="I155" s="13">
        <v>46170</v>
      </c>
      <c r="J155" s="3" t="b">
        <v>1</v>
      </c>
    </row>
    <row r="156" spans="1:10" ht="14.4" x14ac:dyDescent="0.3">
      <c r="A156" s="25">
        <v>365547</v>
      </c>
      <c r="B156" s="3" t="s">
        <v>466</v>
      </c>
      <c r="C156" s="10" t="s">
        <v>87</v>
      </c>
      <c r="D156" s="19" t="s">
        <v>82</v>
      </c>
      <c r="G156" s="4" t="str">
        <f ca="1">IFERROR(__xludf.DUMMYFUNCTION("""COMPUTED_VALUE"""),"")</f>
        <v/>
      </c>
      <c r="H156" s="10" t="s">
        <v>448</v>
      </c>
      <c r="I156" s="13">
        <v>46170</v>
      </c>
      <c r="J156" s="3" t="b">
        <v>1</v>
      </c>
    </row>
    <row r="157" spans="1:10" ht="14.4" x14ac:dyDescent="0.3">
      <c r="A157" s="25">
        <v>365545</v>
      </c>
      <c r="B157" s="3" t="s">
        <v>467</v>
      </c>
      <c r="C157" s="10" t="s">
        <v>81</v>
      </c>
      <c r="D157" s="19" t="s">
        <v>82</v>
      </c>
      <c r="G157" s="4" t="str">
        <f ca="1">IFERROR(__xludf.DUMMYFUNCTION("""COMPUTED_VALUE"""),"")</f>
        <v/>
      </c>
      <c r="H157" s="10" t="s">
        <v>232</v>
      </c>
      <c r="I157" s="13">
        <v>46170</v>
      </c>
      <c r="J157" s="3" t="b">
        <v>1</v>
      </c>
    </row>
    <row r="158" spans="1:10" ht="14.4" x14ac:dyDescent="0.3">
      <c r="A158" s="25">
        <v>355546</v>
      </c>
      <c r="B158" s="3" t="s">
        <v>468</v>
      </c>
      <c r="C158" s="10" t="s">
        <v>81</v>
      </c>
      <c r="D158" s="19" t="s">
        <v>82</v>
      </c>
      <c r="G158" s="4" t="str">
        <f ca="1">IFERROR(__xludf.DUMMYFUNCTION("""COMPUTED_VALUE"""),"")</f>
        <v/>
      </c>
      <c r="H158" s="10" t="s">
        <v>232</v>
      </c>
      <c r="I158" s="13">
        <v>46170</v>
      </c>
      <c r="J158" s="3" t="b">
        <v>1</v>
      </c>
    </row>
    <row r="159" spans="1:10" ht="14.4" x14ac:dyDescent="0.3">
      <c r="A159" s="25">
        <v>364505</v>
      </c>
      <c r="B159" s="3" t="s">
        <v>469</v>
      </c>
      <c r="C159" s="10" t="s">
        <v>81</v>
      </c>
      <c r="D159" s="19" t="s">
        <v>82</v>
      </c>
      <c r="G159" s="4" t="str">
        <f ca="1">IFERROR(__xludf.DUMMYFUNCTION("""COMPUTED_VALUE"""),"")</f>
        <v/>
      </c>
      <c r="H159" s="10" t="s">
        <v>232</v>
      </c>
      <c r="I159" s="13">
        <v>46170</v>
      </c>
      <c r="J159" s="3" t="b">
        <v>1</v>
      </c>
    </row>
    <row r="160" spans="1:10" ht="14.4" x14ac:dyDescent="0.3">
      <c r="A160" s="25">
        <v>365550</v>
      </c>
      <c r="B160" s="3" t="s">
        <v>470</v>
      </c>
      <c r="C160" s="10" t="s">
        <v>87</v>
      </c>
      <c r="D160" s="19" t="s">
        <v>82</v>
      </c>
      <c r="G160" s="4" t="str">
        <f ca="1">IFERROR(__xludf.DUMMYFUNCTION("""COMPUTED_VALUE"""),"")</f>
        <v/>
      </c>
      <c r="H160" s="10" t="s">
        <v>448</v>
      </c>
      <c r="I160" s="13">
        <v>46170</v>
      </c>
      <c r="J160" s="3" t="b">
        <v>1</v>
      </c>
    </row>
    <row r="161" spans="1:10" ht="14.4" x14ac:dyDescent="0.3">
      <c r="A161" s="25">
        <v>365544</v>
      </c>
      <c r="B161" s="3" t="s">
        <v>471</v>
      </c>
      <c r="C161" s="10" t="s">
        <v>87</v>
      </c>
      <c r="D161" s="19" t="s">
        <v>82</v>
      </c>
      <c r="G161" s="4" t="str">
        <f ca="1">IFERROR(__xludf.DUMMYFUNCTION("""COMPUTED_VALUE"""),"")</f>
        <v/>
      </c>
      <c r="H161" s="10" t="s">
        <v>448</v>
      </c>
      <c r="I161" s="13">
        <v>46170</v>
      </c>
      <c r="J161" s="3" t="b">
        <v>1</v>
      </c>
    </row>
    <row r="162" spans="1:10" ht="14.4" x14ac:dyDescent="0.3">
      <c r="A162" s="25">
        <v>365213</v>
      </c>
      <c r="B162" s="3" t="s">
        <v>472</v>
      </c>
      <c r="C162" s="10" t="s">
        <v>87</v>
      </c>
      <c r="D162" s="19" t="s">
        <v>82</v>
      </c>
      <c r="G162" s="4" t="str">
        <f ca="1">IFERROR(__xludf.DUMMYFUNCTION("""COMPUTED_VALUE"""),"")</f>
        <v/>
      </c>
      <c r="H162" s="10" t="s">
        <v>448</v>
      </c>
      <c r="I162" s="13">
        <v>46170</v>
      </c>
      <c r="J162" s="3" t="b">
        <v>1</v>
      </c>
    </row>
    <row r="163" spans="1:10" ht="14.4" x14ac:dyDescent="0.3">
      <c r="A163" s="25">
        <v>6721</v>
      </c>
      <c r="B163" s="3" t="s">
        <v>473</v>
      </c>
      <c r="C163" s="10" t="s">
        <v>87</v>
      </c>
      <c r="D163" s="19" t="s">
        <v>82</v>
      </c>
      <c r="G163" s="4" t="str">
        <f ca="1">IFERROR(__xludf.DUMMYFUNCTION("""COMPUTED_VALUE"""),"")</f>
        <v/>
      </c>
      <c r="H163" s="10" t="s">
        <v>448</v>
      </c>
      <c r="I163" s="13">
        <v>46170</v>
      </c>
      <c r="J163" s="3" t="b">
        <v>1</v>
      </c>
    </row>
    <row r="164" spans="1:10" ht="14.4" x14ac:dyDescent="0.3">
      <c r="A164" s="25">
        <v>363159</v>
      </c>
      <c r="B164" s="3" t="s">
        <v>474</v>
      </c>
      <c r="C164" s="10" t="s">
        <v>87</v>
      </c>
      <c r="D164" s="19" t="s">
        <v>82</v>
      </c>
      <c r="G164" s="4" t="str">
        <f ca="1">IFERROR(__xludf.DUMMYFUNCTION("""COMPUTED_VALUE"""),"")</f>
        <v/>
      </c>
      <c r="H164" s="10" t="s">
        <v>448</v>
      </c>
      <c r="I164" s="13">
        <v>46170</v>
      </c>
      <c r="J164" s="3" t="b">
        <v>1</v>
      </c>
    </row>
    <row r="165" spans="1:10" ht="14.4" x14ac:dyDescent="0.3">
      <c r="A165" s="25">
        <v>364226</v>
      </c>
      <c r="B165" s="3" t="s">
        <v>475</v>
      </c>
      <c r="C165" s="10" t="s">
        <v>81</v>
      </c>
      <c r="D165" s="19" t="s">
        <v>82</v>
      </c>
      <c r="G165" s="4" t="str">
        <f ca="1">IFERROR(__xludf.DUMMYFUNCTION("""COMPUTED_VALUE"""),"")</f>
        <v/>
      </c>
      <c r="H165" s="10" t="s">
        <v>232</v>
      </c>
      <c r="I165" s="13">
        <v>46170</v>
      </c>
      <c r="J165" s="3" t="b">
        <v>1</v>
      </c>
    </row>
    <row r="166" spans="1:10" ht="13.2" x14ac:dyDescent="0.25">
      <c r="G166" s="4" t="str">
        <f ca="1">IFERROR(__xludf.DUMMYFUNCTION("""COMPUTED_VALUE"""),"")</f>
        <v/>
      </c>
      <c r="J166" s="26"/>
    </row>
    <row r="167" spans="1:10" ht="13.2" x14ac:dyDescent="0.25">
      <c r="G167" s="4" t="str">
        <f ca="1">IFERROR(__xludf.DUMMYFUNCTION("""COMPUTED_VALUE"""),"")</f>
        <v/>
      </c>
      <c r="J167" s="26"/>
    </row>
    <row r="168" spans="1:10" ht="13.2" x14ac:dyDescent="0.25">
      <c r="G168" s="4" t="str">
        <f ca="1">IFERROR(__xludf.DUMMYFUNCTION("""COMPUTED_VALUE"""),"")</f>
        <v/>
      </c>
      <c r="J168" s="26"/>
    </row>
    <row r="169" spans="1:10" ht="13.2" x14ac:dyDescent="0.25">
      <c r="G169" s="4" t="str">
        <f ca="1">IFERROR(__xludf.DUMMYFUNCTION("""COMPUTED_VALUE"""),"")</f>
        <v/>
      </c>
      <c r="J169" s="26"/>
    </row>
    <row r="170" spans="1:10" ht="13.2" x14ac:dyDescent="0.25">
      <c r="G170" s="4" t="str">
        <f ca="1">IFERROR(__xludf.DUMMYFUNCTION("""COMPUTED_VALUE"""),"")</f>
        <v/>
      </c>
      <c r="J170" s="26"/>
    </row>
    <row r="171" spans="1:10" ht="13.2" x14ac:dyDescent="0.25">
      <c r="G171" s="4" t="str">
        <f ca="1">IFERROR(__xludf.DUMMYFUNCTION("""COMPUTED_VALUE"""),"")</f>
        <v/>
      </c>
      <c r="J171" s="26"/>
    </row>
    <row r="172" spans="1:10" ht="13.2" x14ac:dyDescent="0.25">
      <c r="G172" s="4" t="str">
        <f ca="1">IFERROR(__xludf.DUMMYFUNCTION("""COMPUTED_VALUE"""),"")</f>
        <v/>
      </c>
      <c r="J172" s="26"/>
    </row>
    <row r="173" spans="1:10" ht="13.2" x14ac:dyDescent="0.25">
      <c r="G173" s="4" t="str">
        <f ca="1">IFERROR(__xludf.DUMMYFUNCTION("""COMPUTED_VALUE"""),"")</f>
        <v/>
      </c>
      <c r="J173" s="26"/>
    </row>
    <row r="174" spans="1:10" ht="13.2" x14ac:dyDescent="0.25">
      <c r="G174" s="4" t="str">
        <f ca="1">IFERROR(__xludf.DUMMYFUNCTION("""COMPUTED_VALUE"""),"")</f>
        <v/>
      </c>
      <c r="J174" s="26"/>
    </row>
    <row r="175" spans="1:10" ht="13.2" x14ac:dyDescent="0.25">
      <c r="G175" s="4" t="str">
        <f ca="1">IFERROR(__xludf.DUMMYFUNCTION("""COMPUTED_VALUE"""),"")</f>
        <v/>
      </c>
      <c r="J175" s="26"/>
    </row>
    <row r="176" spans="1:10" ht="13.2" x14ac:dyDescent="0.25">
      <c r="G176" s="4" t="str">
        <f ca="1">IFERROR(__xludf.DUMMYFUNCTION("""COMPUTED_VALUE"""),"")</f>
        <v/>
      </c>
      <c r="J176" s="26"/>
    </row>
    <row r="177" spans="7:10" ht="13.2" x14ac:dyDescent="0.25">
      <c r="G177" s="4" t="str">
        <f ca="1">IFERROR(__xludf.DUMMYFUNCTION("""COMPUTED_VALUE"""),"")</f>
        <v/>
      </c>
      <c r="J177" s="26"/>
    </row>
    <row r="178" spans="7:10" ht="13.2" x14ac:dyDescent="0.25">
      <c r="G178" s="4" t="str">
        <f ca="1">IFERROR(__xludf.DUMMYFUNCTION("""COMPUTED_VALUE"""),"")</f>
        <v/>
      </c>
      <c r="J178" s="26"/>
    </row>
    <row r="179" spans="7:10" ht="13.2" x14ac:dyDescent="0.25">
      <c r="G179" s="4" t="str">
        <f ca="1">IFERROR(__xludf.DUMMYFUNCTION("""COMPUTED_VALUE"""),"")</f>
        <v/>
      </c>
      <c r="J179" s="26"/>
    </row>
    <row r="180" spans="7:10" ht="13.2" x14ac:dyDescent="0.25">
      <c r="G180" s="4" t="str">
        <f ca="1">IFERROR(__xludf.DUMMYFUNCTION("""COMPUTED_VALUE"""),"")</f>
        <v/>
      </c>
      <c r="J180" s="26"/>
    </row>
    <row r="181" spans="7:10" ht="13.2" x14ac:dyDescent="0.25">
      <c r="G181" s="4" t="str">
        <f ca="1">IFERROR(__xludf.DUMMYFUNCTION("""COMPUTED_VALUE"""),"")</f>
        <v/>
      </c>
      <c r="J181" s="26"/>
    </row>
    <row r="182" spans="7:10" ht="13.2" x14ac:dyDescent="0.25">
      <c r="G182" s="4" t="str">
        <f ca="1">IFERROR(__xludf.DUMMYFUNCTION("""COMPUTED_VALUE"""),"")</f>
        <v/>
      </c>
      <c r="J182" s="26"/>
    </row>
    <row r="183" spans="7:10" ht="13.2" x14ac:dyDescent="0.25">
      <c r="G183" s="4" t="str">
        <f ca="1">IFERROR(__xludf.DUMMYFUNCTION("""COMPUTED_VALUE"""),"")</f>
        <v/>
      </c>
      <c r="J183" s="26"/>
    </row>
    <row r="184" spans="7:10" ht="13.2" x14ac:dyDescent="0.25">
      <c r="G184" s="4" t="str">
        <f ca="1">IFERROR(__xludf.DUMMYFUNCTION("""COMPUTED_VALUE"""),"")</f>
        <v/>
      </c>
      <c r="J184" s="26"/>
    </row>
    <row r="185" spans="7:10" ht="13.2" x14ac:dyDescent="0.25">
      <c r="G185" s="4" t="str">
        <f ca="1">IFERROR(__xludf.DUMMYFUNCTION("""COMPUTED_VALUE"""),"")</f>
        <v/>
      </c>
      <c r="J185" s="26"/>
    </row>
    <row r="186" spans="7:10" ht="13.2" x14ac:dyDescent="0.25">
      <c r="G186" s="4" t="str">
        <f ca="1">IFERROR(__xludf.DUMMYFUNCTION("""COMPUTED_VALUE"""),"")</f>
        <v/>
      </c>
      <c r="J186" s="26"/>
    </row>
    <row r="187" spans="7:10" ht="13.2" x14ac:dyDescent="0.25">
      <c r="G187" s="4" t="str">
        <f ca="1">IFERROR(__xludf.DUMMYFUNCTION("""COMPUTED_VALUE"""),"")</f>
        <v/>
      </c>
      <c r="J187" s="26"/>
    </row>
    <row r="188" spans="7:10" ht="13.2" x14ac:dyDescent="0.25">
      <c r="G188" s="4" t="str">
        <f ca="1">IFERROR(__xludf.DUMMYFUNCTION("""COMPUTED_VALUE"""),"")</f>
        <v/>
      </c>
      <c r="J188" s="26"/>
    </row>
    <row r="189" spans="7:10" ht="13.2" x14ac:dyDescent="0.25">
      <c r="G189" s="4" t="str">
        <f ca="1">IFERROR(__xludf.DUMMYFUNCTION("""COMPUTED_VALUE"""),"")</f>
        <v/>
      </c>
      <c r="J189" s="26"/>
    </row>
    <row r="190" spans="7:10" ht="13.2" x14ac:dyDescent="0.25">
      <c r="G190" s="4" t="str">
        <f ca="1">IFERROR(__xludf.DUMMYFUNCTION("""COMPUTED_VALUE"""),"")</f>
        <v/>
      </c>
      <c r="J190" s="26"/>
    </row>
    <row r="191" spans="7:10" ht="13.2" x14ac:dyDescent="0.25">
      <c r="G191" s="4" t="str">
        <f ca="1">IFERROR(__xludf.DUMMYFUNCTION("""COMPUTED_VALUE"""),"")</f>
        <v/>
      </c>
      <c r="J191" s="26"/>
    </row>
    <row r="192" spans="7:10" ht="13.2" x14ac:dyDescent="0.25">
      <c r="G192" s="4" t="str">
        <f ca="1">IFERROR(__xludf.DUMMYFUNCTION("""COMPUTED_VALUE"""),"")</f>
        <v/>
      </c>
      <c r="J192" s="26"/>
    </row>
    <row r="193" spans="7:10" ht="13.2" x14ac:dyDescent="0.25">
      <c r="G193" s="4" t="str">
        <f ca="1">IFERROR(__xludf.DUMMYFUNCTION("""COMPUTED_VALUE"""),"")</f>
        <v/>
      </c>
      <c r="J193" s="26"/>
    </row>
    <row r="194" spans="7:10" ht="13.2" x14ac:dyDescent="0.25">
      <c r="G194" s="4" t="str">
        <f ca="1">IFERROR(__xludf.DUMMYFUNCTION("""COMPUTED_VALUE"""),"")</f>
        <v/>
      </c>
      <c r="J194" s="26"/>
    </row>
    <row r="195" spans="7:10" ht="13.2" x14ac:dyDescent="0.25">
      <c r="G195" s="4" t="str">
        <f ca="1">IFERROR(__xludf.DUMMYFUNCTION("""COMPUTED_VALUE"""),"")</f>
        <v/>
      </c>
      <c r="J195" s="26"/>
    </row>
    <row r="196" spans="7:10" ht="13.2" x14ac:dyDescent="0.25">
      <c r="G196" s="4" t="str">
        <f ca="1">IFERROR(__xludf.DUMMYFUNCTION("""COMPUTED_VALUE"""),"")</f>
        <v/>
      </c>
      <c r="J196" s="26"/>
    </row>
    <row r="197" spans="7:10" ht="13.2" x14ac:dyDescent="0.25">
      <c r="G197" s="4" t="str">
        <f ca="1">IFERROR(__xludf.DUMMYFUNCTION("""COMPUTED_VALUE"""),"")</f>
        <v/>
      </c>
      <c r="J197" s="26"/>
    </row>
    <row r="198" spans="7:10" ht="13.2" x14ac:dyDescent="0.25">
      <c r="G198" s="4" t="str">
        <f ca="1">IFERROR(__xludf.DUMMYFUNCTION("""COMPUTED_VALUE"""),"")</f>
        <v/>
      </c>
      <c r="J198" s="26"/>
    </row>
    <row r="199" spans="7:10" ht="13.2" x14ac:dyDescent="0.25">
      <c r="G199" s="4" t="str">
        <f ca="1">IFERROR(__xludf.DUMMYFUNCTION("""COMPUTED_VALUE"""),"")</f>
        <v/>
      </c>
      <c r="J199" s="26"/>
    </row>
    <row r="200" spans="7:10" ht="13.2" x14ac:dyDescent="0.25">
      <c r="G200" s="4" t="str">
        <f ca="1">IFERROR(__xludf.DUMMYFUNCTION("""COMPUTED_VALUE"""),"")</f>
        <v/>
      </c>
      <c r="J200" s="26"/>
    </row>
    <row r="201" spans="7:10" ht="13.2" x14ac:dyDescent="0.25">
      <c r="G201" s="4" t="str">
        <f ca="1">IFERROR(__xludf.DUMMYFUNCTION("""COMPUTED_VALUE"""),"")</f>
        <v/>
      </c>
      <c r="J201" s="26"/>
    </row>
    <row r="202" spans="7:10" ht="13.2" x14ac:dyDescent="0.25">
      <c r="G202" s="4" t="str">
        <f ca="1">IFERROR(__xludf.DUMMYFUNCTION("""COMPUTED_VALUE"""),"")</f>
        <v/>
      </c>
      <c r="J202" s="26"/>
    </row>
    <row r="203" spans="7:10" ht="13.2" x14ac:dyDescent="0.25">
      <c r="G203" s="4" t="str">
        <f ca="1">IFERROR(__xludf.DUMMYFUNCTION("""COMPUTED_VALUE"""),"")</f>
        <v/>
      </c>
      <c r="J203" s="26"/>
    </row>
    <row r="204" spans="7:10" ht="13.2" x14ac:dyDescent="0.25">
      <c r="G204" s="4" t="str">
        <f ca="1">IFERROR(__xludf.DUMMYFUNCTION("""COMPUTED_VALUE"""),"")</f>
        <v/>
      </c>
      <c r="J204" s="26"/>
    </row>
    <row r="205" spans="7:10" ht="13.2" x14ac:dyDescent="0.25">
      <c r="G205" s="4" t="str">
        <f ca="1">IFERROR(__xludf.DUMMYFUNCTION("""COMPUTED_VALUE"""),"")</f>
        <v/>
      </c>
      <c r="J205" s="26"/>
    </row>
    <row r="206" spans="7:10" ht="13.2" x14ac:dyDescent="0.25">
      <c r="G206" s="4" t="str">
        <f ca="1">IFERROR(__xludf.DUMMYFUNCTION("""COMPUTED_VALUE"""),"")</f>
        <v/>
      </c>
      <c r="J206" s="26"/>
    </row>
    <row r="207" spans="7:10" ht="13.2" x14ac:dyDescent="0.25">
      <c r="G207" s="4" t="str">
        <f ca="1">IFERROR(__xludf.DUMMYFUNCTION("""COMPUTED_VALUE"""),"")</f>
        <v/>
      </c>
      <c r="J207" s="26"/>
    </row>
    <row r="208" spans="7:10" ht="13.2" x14ac:dyDescent="0.25">
      <c r="G208" s="4" t="str">
        <f ca="1">IFERROR(__xludf.DUMMYFUNCTION("""COMPUTED_VALUE"""),"")</f>
        <v/>
      </c>
      <c r="J208" s="26"/>
    </row>
    <row r="209" spans="7:10" ht="13.2" x14ac:dyDescent="0.25">
      <c r="G209" s="4" t="str">
        <f ca="1">IFERROR(__xludf.DUMMYFUNCTION("""COMPUTED_VALUE"""),"")</f>
        <v/>
      </c>
      <c r="J209" s="26"/>
    </row>
    <row r="210" spans="7:10" ht="13.2" x14ac:dyDescent="0.25">
      <c r="G210" s="4" t="str">
        <f ca="1">IFERROR(__xludf.DUMMYFUNCTION("""COMPUTED_VALUE"""),"")</f>
        <v/>
      </c>
      <c r="J210" s="26"/>
    </row>
    <row r="211" spans="7:10" ht="13.2" x14ac:dyDescent="0.25">
      <c r="G211" s="4" t="str">
        <f ca="1">IFERROR(__xludf.DUMMYFUNCTION("""COMPUTED_VALUE"""),"")</f>
        <v/>
      </c>
      <c r="J211" s="26"/>
    </row>
    <row r="212" spans="7:10" ht="13.2" x14ac:dyDescent="0.25">
      <c r="G212" s="4" t="str">
        <f ca="1">IFERROR(__xludf.DUMMYFUNCTION("""COMPUTED_VALUE"""),"")</f>
        <v/>
      </c>
      <c r="J212" s="26"/>
    </row>
    <row r="213" spans="7:10" ht="13.2" x14ac:dyDescent="0.25">
      <c r="G213" s="4" t="str">
        <f ca="1">IFERROR(__xludf.DUMMYFUNCTION("""COMPUTED_VALUE"""),"")</f>
        <v/>
      </c>
      <c r="J213" s="26"/>
    </row>
    <row r="214" spans="7:10" ht="13.2" x14ac:dyDescent="0.25">
      <c r="G214" s="4" t="str">
        <f ca="1">IFERROR(__xludf.DUMMYFUNCTION("""COMPUTED_VALUE"""),"")</f>
        <v/>
      </c>
      <c r="J214" s="26"/>
    </row>
    <row r="215" spans="7:10" ht="13.2" x14ac:dyDescent="0.25">
      <c r="G215" s="4" t="str">
        <f ca="1">IFERROR(__xludf.DUMMYFUNCTION("""COMPUTED_VALUE"""),"")</f>
        <v/>
      </c>
      <c r="J215" s="26"/>
    </row>
    <row r="216" spans="7:10" ht="13.2" x14ac:dyDescent="0.25">
      <c r="G216" s="4" t="str">
        <f ca="1">IFERROR(__xludf.DUMMYFUNCTION("""COMPUTED_VALUE"""),"")</f>
        <v/>
      </c>
      <c r="J216" s="26"/>
    </row>
    <row r="217" spans="7:10" ht="13.2" x14ac:dyDescent="0.25">
      <c r="G217" s="4" t="str">
        <f ca="1">IFERROR(__xludf.DUMMYFUNCTION("""COMPUTED_VALUE"""),"")</f>
        <v/>
      </c>
      <c r="J217" s="26"/>
    </row>
    <row r="218" spans="7:10" ht="13.2" x14ac:dyDescent="0.25">
      <c r="G218" s="4" t="str">
        <f ca="1">IFERROR(__xludf.DUMMYFUNCTION("""COMPUTED_VALUE"""),"")</f>
        <v/>
      </c>
      <c r="J218" s="26"/>
    </row>
    <row r="219" spans="7:10" ht="13.2" x14ac:dyDescent="0.25">
      <c r="G219" s="4" t="str">
        <f ca="1">IFERROR(__xludf.DUMMYFUNCTION("""COMPUTED_VALUE"""),"")</f>
        <v/>
      </c>
      <c r="J219" s="26"/>
    </row>
    <row r="220" spans="7:10" ht="13.2" x14ac:dyDescent="0.25">
      <c r="G220" s="4" t="str">
        <f ca="1">IFERROR(__xludf.DUMMYFUNCTION("""COMPUTED_VALUE"""),"")</f>
        <v/>
      </c>
      <c r="J220" s="26"/>
    </row>
    <row r="221" spans="7:10" ht="13.2" x14ac:dyDescent="0.25">
      <c r="G221" s="4" t="str">
        <f ca="1">IFERROR(__xludf.DUMMYFUNCTION("""COMPUTED_VALUE"""),"")</f>
        <v/>
      </c>
      <c r="J221" s="26"/>
    </row>
    <row r="222" spans="7:10" ht="13.2" x14ac:dyDescent="0.25">
      <c r="G222" s="4" t="str">
        <f ca="1">IFERROR(__xludf.DUMMYFUNCTION("""COMPUTED_VALUE"""),"")</f>
        <v/>
      </c>
      <c r="J222" s="26"/>
    </row>
    <row r="223" spans="7:10" ht="13.2" x14ac:dyDescent="0.25">
      <c r="G223" s="4" t="str">
        <f ca="1">IFERROR(__xludf.DUMMYFUNCTION("""COMPUTED_VALUE"""),"")</f>
        <v/>
      </c>
      <c r="J223" s="26"/>
    </row>
    <row r="224" spans="7:10" ht="13.2" x14ac:dyDescent="0.25">
      <c r="G224" s="4" t="str">
        <f ca="1">IFERROR(__xludf.DUMMYFUNCTION("""COMPUTED_VALUE"""),"")</f>
        <v/>
      </c>
      <c r="J224" s="26"/>
    </row>
    <row r="225" spans="7:10" ht="13.2" x14ac:dyDescent="0.25">
      <c r="G225" s="4" t="str">
        <f ca="1">IFERROR(__xludf.DUMMYFUNCTION("""COMPUTED_VALUE"""),"")</f>
        <v/>
      </c>
      <c r="J225" s="26"/>
    </row>
    <row r="226" spans="7:10" ht="13.2" x14ac:dyDescent="0.25">
      <c r="G226" s="4" t="str">
        <f ca="1">IFERROR(__xludf.DUMMYFUNCTION("""COMPUTED_VALUE"""),"")</f>
        <v/>
      </c>
      <c r="J226" s="26"/>
    </row>
    <row r="227" spans="7:10" ht="13.2" x14ac:dyDescent="0.25">
      <c r="G227" s="4" t="str">
        <f ca="1">IFERROR(__xludf.DUMMYFUNCTION("""COMPUTED_VALUE"""),"")</f>
        <v/>
      </c>
      <c r="J227" s="26"/>
    </row>
    <row r="228" spans="7:10" ht="13.2" x14ac:dyDescent="0.25">
      <c r="G228" s="4" t="str">
        <f ca="1">IFERROR(__xludf.DUMMYFUNCTION("""COMPUTED_VALUE"""),"")</f>
        <v/>
      </c>
      <c r="J228" s="26"/>
    </row>
    <row r="229" spans="7:10" ht="13.2" x14ac:dyDescent="0.25">
      <c r="G229" s="4" t="str">
        <f ca="1">IFERROR(__xludf.DUMMYFUNCTION("""COMPUTED_VALUE"""),"")</f>
        <v/>
      </c>
      <c r="J229" s="26"/>
    </row>
    <row r="230" spans="7:10" ht="13.2" x14ac:dyDescent="0.25">
      <c r="G230" s="4" t="str">
        <f ca="1">IFERROR(__xludf.DUMMYFUNCTION("""COMPUTED_VALUE"""),"")</f>
        <v/>
      </c>
      <c r="J230" s="26"/>
    </row>
    <row r="231" spans="7:10" ht="13.2" x14ac:dyDescent="0.25">
      <c r="G231" s="4" t="str">
        <f ca="1">IFERROR(__xludf.DUMMYFUNCTION("""COMPUTED_VALUE"""),"")</f>
        <v/>
      </c>
      <c r="J231" s="26"/>
    </row>
    <row r="232" spans="7:10" ht="13.2" x14ac:dyDescent="0.25">
      <c r="G232" s="4" t="str">
        <f ca="1">IFERROR(__xludf.DUMMYFUNCTION("""COMPUTED_VALUE"""),"")</f>
        <v/>
      </c>
      <c r="J232" s="26"/>
    </row>
    <row r="233" spans="7:10" ht="13.2" x14ac:dyDescent="0.25">
      <c r="G233" s="4" t="str">
        <f ca="1">IFERROR(__xludf.DUMMYFUNCTION("""COMPUTED_VALUE"""),"")</f>
        <v/>
      </c>
      <c r="J233" s="26"/>
    </row>
    <row r="234" spans="7:10" ht="13.2" x14ac:dyDescent="0.25">
      <c r="G234" s="4" t="str">
        <f ca="1">IFERROR(__xludf.DUMMYFUNCTION("""COMPUTED_VALUE"""),"")</f>
        <v/>
      </c>
      <c r="J234" s="26"/>
    </row>
    <row r="235" spans="7:10" ht="13.2" x14ac:dyDescent="0.25">
      <c r="G235" s="4" t="str">
        <f ca="1">IFERROR(__xludf.DUMMYFUNCTION("""COMPUTED_VALUE"""),"")</f>
        <v/>
      </c>
      <c r="J235" s="26"/>
    </row>
    <row r="236" spans="7:10" ht="13.2" x14ac:dyDescent="0.25">
      <c r="G236" s="4" t="str">
        <f ca="1">IFERROR(__xludf.DUMMYFUNCTION("""COMPUTED_VALUE"""),"")</f>
        <v/>
      </c>
      <c r="J236" s="26"/>
    </row>
    <row r="237" spans="7:10" ht="13.2" x14ac:dyDescent="0.25">
      <c r="G237" s="4" t="str">
        <f ca="1">IFERROR(__xludf.DUMMYFUNCTION("""COMPUTED_VALUE"""),"")</f>
        <v/>
      </c>
      <c r="J237" s="26"/>
    </row>
    <row r="238" spans="7:10" ht="13.2" x14ac:dyDescent="0.25">
      <c r="G238" s="4" t="str">
        <f ca="1">IFERROR(__xludf.DUMMYFUNCTION("""COMPUTED_VALUE"""),"")</f>
        <v/>
      </c>
      <c r="J238" s="26"/>
    </row>
    <row r="239" spans="7:10" ht="13.2" x14ac:dyDescent="0.25">
      <c r="G239" s="4" t="str">
        <f ca="1">IFERROR(__xludf.DUMMYFUNCTION("""COMPUTED_VALUE"""),"")</f>
        <v/>
      </c>
      <c r="J239" s="26"/>
    </row>
    <row r="240" spans="7:10" ht="13.2" x14ac:dyDescent="0.25">
      <c r="G240" s="4" t="str">
        <f ca="1">IFERROR(__xludf.DUMMYFUNCTION("""COMPUTED_VALUE"""),"")</f>
        <v/>
      </c>
      <c r="J240" s="26"/>
    </row>
    <row r="241" spans="7:10" ht="13.2" x14ac:dyDescent="0.25">
      <c r="G241" s="4" t="str">
        <f ca="1">IFERROR(__xludf.DUMMYFUNCTION("""COMPUTED_VALUE"""),"")</f>
        <v/>
      </c>
      <c r="J241" s="26"/>
    </row>
    <row r="242" spans="7:10" ht="13.2" x14ac:dyDescent="0.25">
      <c r="G242" s="4" t="str">
        <f ca="1">IFERROR(__xludf.DUMMYFUNCTION("""COMPUTED_VALUE"""),"")</f>
        <v/>
      </c>
      <c r="J242" s="26"/>
    </row>
    <row r="243" spans="7:10" ht="13.2" x14ac:dyDescent="0.25">
      <c r="G243" s="4" t="str">
        <f ca="1">IFERROR(__xludf.DUMMYFUNCTION("""COMPUTED_VALUE"""),"")</f>
        <v/>
      </c>
      <c r="J243" s="26"/>
    </row>
    <row r="244" spans="7:10" ht="13.2" x14ac:dyDescent="0.25">
      <c r="G244" s="4" t="str">
        <f ca="1">IFERROR(__xludf.DUMMYFUNCTION("""COMPUTED_VALUE"""),"")</f>
        <v/>
      </c>
      <c r="J244" s="26"/>
    </row>
    <row r="245" spans="7:10" ht="13.2" x14ac:dyDescent="0.25">
      <c r="G245" s="4" t="str">
        <f ca="1">IFERROR(__xludf.DUMMYFUNCTION("""COMPUTED_VALUE"""),"")</f>
        <v/>
      </c>
      <c r="J245" s="26"/>
    </row>
    <row r="246" spans="7:10" ht="13.2" x14ac:dyDescent="0.25">
      <c r="G246" s="4" t="str">
        <f ca="1">IFERROR(__xludf.DUMMYFUNCTION("""COMPUTED_VALUE"""),"")</f>
        <v/>
      </c>
      <c r="J246" s="26"/>
    </row>
    <row r="247" spans="7:10" ht="13.2" x14ac:dyDescent="0.25">
      <c r="G247" s="4" t="str">
        <f ca="1">IFERROR(__xludf.DUMMYFUNCTION("""COMPUTED_VALUE"""),"")</f>
        <v/>
      </c>
      <c r="J247" s="26"/>
    </row>
    <row r="248" spans="7:10" ht="13.2" x14ac:dyDescent="0.25">
      <c r="G248" s="4" t="str">
        <f ca="1">IFERROR(__xludf.DUMMYFUNCTION("""COMPUTED_VALUE"""),"")</f>
        <v/>
      </c>
      <c r="J248" s="26"/>
    </row>
    <row r="249" spans="7:10" ht="13.2" x14ac:dyDescent="0.25">
      <c r="G249" s="4" t="str">
        <f ca="1">IFERROR(__xludf.DUMMYFUNCTION("""COMPUTED_VALUE"""),"")</f>
        <v/>
      </c>
      <c r="J249" s="26"/>
    </row>
    <row r="250" spans="7:10" ht="13.2" x14ac:dyDescent="0.25">
      <c r="G250" s="4" t="str">
        <f ca="1">IFERROR(__xludf.DUMMYFUNCTION("""COMPUTED_VALUE"""),"")</f>
        <v/>
      </c>
      <c r="J250" s="26"/>
    </row>
    <row r="251" spans="7:10" ht="13.2" x14ac:dyDescent="0.25">
      <c r="G251" s="4" t="str">
        <f ca="1">IFERROR(__xludf.DUMMYFUNCTION("""COMPUTED_VALUE"""),"")</f>
        <v/>
      </c>
      <c r="J251" s="26"/>
    </row>
    <row r="252" spans="7:10" ht="13.2" x14ac:dyDescent="0.25">
      <c r="G252" s="4" t="str">
        <f ca="1">IFERROR(__xludf.DUMMYFUNCTION("""COMPUTED_VALUE"""),"")</f>
        <v/>
      </c>
      <c r="J252" s="26"/>
    </row>
    <row r="253" spans="7:10" ht="13.2" x14ac:dyDescent="0.25">
      <c r="G253" s="4" t="str">
        <f ca="1">IFERROR(__xludf.DUMMYFUNCTION("""COMPUTED_VALUE"""),"")</f>
        <v/>
      </c>
      <c r="J253" s="26"/>
    </row>
    <row r="254" spans="7:10" ht="13.2" x14ac:dyDescent="0.25">
      <c r="G254" s="4" t="str">
        <f ca="1">IFERROR(__xludf.DUMMYFUNCTION("""COMPUTED_VALUE"""),"")</f>
        <v/>
      </c>
      <c r="J254" s="26"/>
    </row>
    <row r="255" spans="7:10" ht="13.2" x14ac:dyDescent="0.25">
      <c r="G255" s="4" t="str">
        <f ca="1">IFERROR(__xludf.DUMMYFUNCTION("""COMPUTED_VALUE"""),"")</f>
        <v/>
      </c>
      <c r="J255" s="26"/>
    </row>
    <row r="256" spans="7:10" ht="13.2" x14ac:dyDescent="0.25">
      <c r="G256" s="4" t="str">
        <f ca="1">IFERROR(__xludf.DUMMYFUNCTION("""COMPUTED_VALUE"""),"")</f>
        <v/>
      </c>
      <c r="J256" s="26"/>
    </row>
    <row r="257" spans="7:10" ht="13.2" x14ac:dyDescent="0.25">
      <c r="G257" s="4" t="str">
        <f ca="1">IFERROR(__xludf.DUMMYFUNCTION("""COMPUTED_VALUE"""),"")</f>
        <v/>
      </c>
      <c r="J257" s="26"/>
    </row>
    <row r="258" spans="7:10" ht="13.2" x14ac:dyDescent="0.25">
      <c r="G258" s="4" t="str">
        <f ca="1">IFERROR(__xludf.DUMMYFUNCTION("""COMPUTED_VALUE"""),"")</f>
        <v/>
      </c>
      <c r="J258" s="26"/>
    </row>
    <row r="259" spans="7:10" ht="13.2" x14ac:dyDescent="0.25">
      <c r="G259" s="4" t="str">
        <f ca="1">IFERROR(__xludf.DUMMYFUNCTION("""COMPUTED_VALUE"""),"")</f>
        <v/>
      </c>
      <c r="J259" s="26"/>
    </row>
    <row r="260" spans="7:10" ht="13.2" x14ac:dyDescent="0.25">
      <c r="G260" s="4" t="str">
        <f ca="1">IFERROR(__xludf.DUMMYFUNCTION("""COMPUTED_VALUE"""),"")</f>
        <v/>
      </c>
      <c r="J260" s="26"/>
    </row>
    <row r="261" spans="7:10" ht="13.2" x14ac:dyDescent="0.25">
      <c r="G261" s="4" t="str">
        <f ca="1">IFERROR(__xludf.DUMMYFUNCTION("""COMPUTED_VALUE"""),"")</f>
        <v/>
      </c>
      <c r="J261" s="26"/>
    </row>
    <row r="262" spans="7:10" ht="13.2" x14ac:dyDescent="0.25">
      <c r="G262" s="4" t="str">
        <f ca="1">IFERROR(__xludf.DUMMYFUNCTION("""COMPUTED_VALUE"""),"")</f>
        <v/>
      </c>
      <c r="J262" s="26"/>
    </row>
    <row r="263" spans="7:10" ht="13.2" x14ac:dyDescent="0.25">
      <c r="G263" s="4" t="str">
        <f ca="1">IFERROR(__xludf.DUMMYFUNCTION("""COMPUTED_VALUE"""),"")</f>
        <v/>
      </c>
      <c r="J263" s="26"/>
    </row>
    <row r="264" spans="7:10" ht="13.2" x14ac:dyDescent="0.25">
      <c r="G264" s="4" t="str">
        <f ca="1">IFERROR(__xludf.DUMMYFUNCTION("""COMPUTED_VALUE"""),"")</f>
        <v/>
      </c>
      <c r="J264" s="26"/>
    </row>
    <row r="265" spans="7:10" ht="13.2" x14ac:dyDescent="0.25">
      <c r="G265" s="4" t="str">
        <f ca="1">IFERROR(__xludf.DUMMYFUNCTION("""COMPUTED_VALUE"""),"")</f>
        <v/>
      </c>
      <c r="J265" s="26"/>
    </row>
    <row r="266" spans="7:10" ht="13.2" x14ac:dyDescent="0.25">
      <c r="G266" s="4" t="str">
        <f ca="1">IFERROR(__xludf.DUMMYFUNCTION("""COMPUTED_VALUE"""),"")</f>
        <v/>
      </c>
      <c r="J266" s="26"/>
    </row>
    <row r="267" spans="7:10" ht="13.2" x14ac:dyDescent="0.25">
      <c r="G267" s="4" t="str">
        <f ca="1">IFERROR(__xludf.DUMMYFUNCTION("""COMPUTED_VALUE"""),"")</f>
        <v/>
      </c>
      <c r="J267" s="26"/>
    </row>
    <row r="268" spans="7:10" ht="13.2" x14ac:dyDescent="0.25">
      <c r="G268" s="4" t="str">
        <f ca="1">IFERROR(__xludf.DUMMYFUNCTION("""COMPUTED_VALUE"""),"")</f>
        <v/>
      </c>
      <c r="J268" s="26"/>
    </row>
    <row r="269" spans="7:10" ht="13.2" x14ac:dyDescent="0.25">
      <c r="G269" s="4" t="str">
        <f ca="1">IFERROR(__xludf.DUMMYFUNCTION("""COMPUTED_VALUE"""),"")</f>
        <v/>
      </c>
      <c r="J269" s="26"/>
    </row>
    <row r="270" spans="7:10" ht="13.2" x14ac:dyDescent="0.25">
      <c r="G270" s="4" t="str">
        <f ca="1">IFERROR(__xludf.DUMMYFUNCTION("""COMPUTED_VALUE"""),"")</f>
        <v/>
      </c>
      <c r="J270" s="26"/>
    </row>
    <row r="271" spans="7:10" ht="13.2" x14ac:dyDescent="0.25">
      <c r="G271" s="4" t="str">
        <f ca="1">IFERROR(__xludf.DUMMYFUNCTION("""COMPUTED_VALUE"""),"")</f>
        <v/>
      </c>
      <c r="J271" s="26"/>
    </row>
    <row r="272" spans="7:10" ht="13.2" x14ac:dyDescent="0.25">
      <c r="G272" s="4" t="str">
        <f ca="1">IFERROR(__xludf.DUMMYFUNCTION("""COMPUTED_VALUE"""),"")</f>
        <v/>
      </c>
      <c r="J272" s="26"/>
    </row>
    <row r="273" spans="7:10" ht="13.2" x14ac:dyDescent="0.25">
      <c r="G273" s="4" t="str">
        <f ca="1">IFERROR(__xludf.DUMMYFUNCTION("""COMPUTED_VALUE"""),"")</f>
        <v/>
      </c>
      <c r="J273" s="26"/>
    </row>
    <row r="274" spans="7:10" ht="13.2" x14ac:dyDescent="0.25">
      <c r="G274" s="4" t="str">
        <f ca="1">IFERROR(__xludf.DUMMYFUNCTION("""COMPUTED_VALUE"""),"")</f>
        <v/>
      </c>
      <c r="J274" s="26"/>
    </row>
    <row r="275" spans="7:10" ht="13.2" x14ac:dyDescent="0.25">
      <c r="G275" s="4" t="str">
        <f ca="1">IFERROR(__xludf.DUMMYFUNCTION("""COMPUTED_VALUE"""),"")</f>
        <v/>
      </c>
      <c r="J275" s="26"/>
    </row>
    <row r="276" spans="7:10" ht="13.2" x14ac:dyDescent="0.25">
      <c r="G276" s="4" t="str">
        <f ca="1">IFERROR(__xludf.DUMMYFUNCTION("""COMPUTED_VALUE"""),"")</f>
        <v/>
      </c>
      <c r="J276" s="26"/>
    </row>
    <row r="277" spans="7:10" ht="13.2" x14ac:dyDescent="0.25">
      <c r="G277" s="4" t="str">
        <f ca="1">IFERROR(__xludf.DUMMYFUNCTION("""COMPUTED_VALUE"""),"")</f>
        <v/>
      </c>
      <c r="J277" s="26"/>
    </row>
    <row r="278" spans="7:10" ht="13.2" x14ac:dyDescent="0.25">
      <c r="G278" s="4" t="str">
        <f ca="1">IFERROR(__xludf.DUMMYFUNCTION("""COMPUTED_VALUE"""),"")</f>
        <v/>
      </c>
      <c r="J278" s="26"/>
    </row>
    <row r="279" spans="7:10" ht="13.2" x14ac:dyDescent="0.25">
      <c r="G279" s="4" t="str">
        <f ca="1">IFERROR(__xludf.DUMMYFUNCTION("""COMPUTED_VALUE"""),"")</f>
        <v/>
      </c>
      <c r="J279" s="26"/>
    </row>
    <row r="280" spans="7:10" ht="13.2" x14ac:dyDescent="0.25">
      <c r="G280" s="4" t="str">
        <f ca="1">IFERROR(__xludf.DUMMYFUNCTION("""COMPUTED_VALUE"""),"")</f>
        <v/>
      </c>
      <c r="J280" s="26"/>
    </row>
    <row r="281" spans="7:10" ht="13.2" x14ac:dyDescent="0.25">
      <c r="G281" s="4" t="str">
        <f ca="1">IFERROR(__xludf.DUMMYFUNCTION("""COMPUTED_VALUE"""),"")</f>
        <v/>
      </c>
      <c r="J281" s="26"/>
    </row>
    <row r="282" spans="7:10" ht="13.2" x14ac:dyDescent="0.25">
      <c r="G282" s="4" t="str">
        <f ca="1">IFERROR(__xludf.DUMMYFUNCTION("""COMPUTED_VALUE"""),"")</f>
        <v/>
      </c>
      <c r="J282" s="26"/>
    </row>
    <row r="283" spans="7:10" ht="13.2" x14ac:dyDescent="0.25">
      <c r="G283" s="4" t="str">
        <f ca="1">IFERROR(__xludf.DUMMYFUNCTION("""COMPUTED_VALUE"""),"")</f>
        <v/>
      </c>
      <c r="J283" s="26"/>
    </row>
    <row r="284" spans="7:10" ht="13.2" x14ac:dyDescent="0.25">
      <c r="G284" s="4" t="str">
        <f ca="1">IFERROR(__xludf.DUMMYFUNCTION("""COMPUTED_VALUE"""),"")</f>
        <v/>
      </c>
      <c r="J284" s="26"/>
    </row>
    <row r="285" spans="7:10" ht="13.2" x14ac:dyDescent="0.25">
      <c r="G285" s="4" t="str">
        <f ca="1">IFERROR(__xludf.DUMMYFUNCTION("""COMPUTED_VALUE"""),"")</f>
        <v/>
      </c>
      <c r="J285" s="26"/>
    </row>
    <row r="286" spans="7:10" ht="13.2" x14ac:dyDescent="0.25">
      <c r="G286" s="4" t="str">
        <f ca="1">IFERROR(__xludf.DUMMYFUNCTION("""COMPUTED_VALUE"""),"")</f>
        <v/>
      </c>
      <c r="J286" s="26"/>
    </row>
    <row r="287" spans="7:10" ht="13.2" x14ac:dyDescent="0.25">
      <c r="G287" s="4" t="str">
        <f ca="1">IFERROR(__xludf.DUMMYFUNCTION("""COMPUTED_VALUE"""),"")</f>
        <v/>
      </c>
      <c r="J287" s="26"/>
    </row>
    <row r="288" spans="7:10" ht="13.2" x14ac:dyDescent="0.25">
      <c r="G288" s="4" t="str">
        <f ca="1">IFERROR(__xludf.DUMMYFUNCTION("""COMPUTED_VALUE"""),"")</f>
        <v/>
      </c>
      <c r="J288" s="26"/>
    </row>
    <row r="289" spans="7:10" ht="13.2" x14ac:dyDescent="0.25">
      <c r="G289" s="4" t="str">
        <f ca="1">IFERROR(__xludf.DUMMYFUNCTION("""COMPUTED_VALUE"""),"")</f>
        <v/>
      </c>
      <c r="J289" s="26"/>
    </row>
    <row r="290" spans="7:10" ht="13.2" x14ac:dyDescent="0.25">
      <c r="G290" s="4" t="str">
        <f ca="1">IFERROR(__xludf.DUMMYFUNCTION("""COMPUTED_VALUE"""),"")</f>
        <v/>
      </c>
      <c r="J290" s="26"/>
    </row>
    <row r="291" spans="7:10" ht="13.2" x14ac:dyDescent="0.25">
      <c r="G291" s="4" t="str">
        <f ca="1">IFERROR(__xludf.DUMMYFUNCTION("""COMPUTED_VALUE"""),"")</f>
        <v/>
      </c>
      <c r="J291" s="26"/>
    </row>
    <row r="292" spans="7:10" ht="13.2" x14ac:dyDescent="0.25">
      <c r="G292" s="4" t="str">
        <f ca="1">IFERROR(__xludf.DUMMYFUNCTION("""COMPUTED_VALUE"""),"")</f>
        <v/>
      </c>
      <c r="J292" s="26"/>
    </row>
    <row r="293" spans="7:10" ht="13.2" x14ac:dyDescent="0.25">
      <c r="G293" s="4" t="str">
        <f ca="1">IFERROR(__xludf.DUMMYFUNCTION("""COMPUTED_VALUE"""),"")</f>
        <v/>
      </c>
      <c r="J293" s="26"/>
    </row>
    <row r="294" spans="7:10" ht="13.2" x14ac:dyDescent="0.25">
      <c r="G294" s="4" t="str">
        <f ca="1">IFERROR(__xludf.DUMMYFUNCTION("""COMPUTED_VALUE"""),"")</f>
        <v/>
      </c>
      <c r="J294" s="26"/>
    </row>
    <row r="295" spans="7:10" ht="13.2" x14ac:dyDescent="0.25">
      <c r="G295" s="4" t="str">
        <f ca="1">IFERROR(__xludf.DUMMYFUNCTION("""COMPUTED_VALUE"""),"")</f>
        <v/>
      </c>
      <c r="J295" s="26"/>
    </row>
    <row r="296" spans="7:10" ht="13.2" x14ac:dyDescent="0.25">
      <c r="G296" s="4" t="str">
        <f ca="1">IFERROR(__xludf.DUMMYFUNCTION("""COMPUTED_VALUE"""),"")</f>
        <v/>
      </c>
      <c r="J296" s="26"/>
    </row>
    <row r="297" spans="7:10" ht="13.2" x14ac:dyDescent="0.25">
      <c r="G297" s="4" t="str">
        <f ca="1">IFERROR(__xludf.DUMMYFUNCTION("""COMPUTED_VALUE"""),"")</f>
        <v/>
      </c>
      <c r="J297" s="26"/>
    </row>
    <row r="298" spans="7:10" ht="13.2" x14ac:dyDescent="0.25">
      <c r="G298" s="4" t="str">
        <f ca="1">IFERROR(__xludf.DUMMYFUNCTION("""COMPUTED_VALUE"""),"")</f>
        <v/>
      </c>
      <c r="J298" s="26"/>
    </row>
    <row r="299" spans="7:10" ht="13.2" x14ac:dyDescent="0.25">
      <c r="G299" s="4" t="str">
        <f ca="1">IFERROR(__xludf.DUMMYFUNCTION("""COMPUTED_VALUE"""),"")</f>
        <v/>
      </c>
      <c r="J299" s="26"/>
    </row>
    <row r="300" spans="7:10" ht="13.2" x14ac:dyDescent="0.25">
      <c r="G300" s="4" t="str">
        <f ca="1">IFERROR(__xludf.DUMMYFUNCTION("""COMPUTED_VALUE"""),"")</f>
        <v/>
      </c>
      <c r="J300" s="26"/>
    </row>
    <row r="301" spans="7:10" ht="13.2" x14ac:dyDescent="0.25">
      <c r="G301" s="4" t="str">
        <f ca="1">IFERROR(__xludf.DUMMYFUNCTION("""COMPUTED_VALUE"""),"")</f>
        <v/>
      </c>
      <c r="J301" s="26"/>
    </row>
    <row r="302" spans="7:10" ht="13.2" x14ac:dyDescent="0.25">
      <c r="G302" s="4" t="str">
        <f ca="1">IFERROR(__xludf.DUMMYFUNCTION("""COMPUTED_VALUE"""),"")</f>
        <v/>
      </c>
      <c r="J302" s="26"/>
    </row>
    <row r="303" spans="7:10" ht="13.2" x14ac:dyDescent="0.25">
      <c r="G303" s="4" t="str">
        <f ca="1">IFERROR(__xludf.DUMMYFUNCTION("""COMPUTED_VALUE"""),"")</f>
        <v/>
      </c>
      <c r="J303" s="26"/>
    </row>
    <row r="304" spans="7:10" ht="13.2" x14ac:dyDescent="0.25">
      <c r="G304" s="4" t="str">
        <f ca="1">IFERROR(__xludf.DUMMYFUNCTION("""COMPUTED_VALUE"""),"")</f>
        <v/>
      </c>
      <c r="J304" s="26"/>
    </row>
    <row r="305" spans="7:10" ht="13.2" x14ac:dyDescent="0.25">
      <c r="G305" s="4" t="str">
        <f ca="1">IFERROR(__xludf.DUMMYFUNCTION("""COMPUTED_VALUE"""),"")</f>
        <v/>
      </c>
      <c r="J305" s="26"/>
    </row>
    <row r="306" spans="7:10" ht="13.2" x14ac:dyDescent="0.25">
      <c r="G306" s="4" t="str">
        <f ca="1">IFERROR(__xludf.DUMMYFUNCTION("""COMPUTED_VALUE"""),"")</f>
        <v/>
      </c>
      <c r="J306" s="26"/>
    </row>
    <row r="307" spans="7:10" ht="13.2" x14ac:dyDescent="0.25">
      <c r="G307" s="4" t="str">
        <f ca="1">IFERROR(__xludf.DUMMYFUNCTION("""COMPUTED_VALUE"""),"")</f>
        <v/>
      </c>
      <c r="J307" s="26"/>
    </row>
    <row r="308" spans="7:10" ht="13.2" x14ac:dyDescent="0.25">
      <c r="G308" s="4" t="str">
        <f ca="1">IFERROR(__xludf.DUMMYFUNCTION("""COMPUTED_VALUE"""),"")</f>
        <v/>
      </c>
      <c r="J308" s="26"/>
    </row>
    <row r="309" spans="7:10" ht="13.2" x14ac:dyDescent="0.25">
      <c r="G309" s="4" t="str">
        <f ca="1">IFERROR(__xludf.DUMMYFUNCTION("""COMPUTED_VALUE"""),"")</f>
        <v/>
      </c>
      <c r="J309" s="26"/>
    </row>
    <row r="310" spans="7:10" ht="13.2" x14ac:dyDescent="0.25">
      <c r="G310" s="4" t="str">
        <f ca="1">IFERROR(__xludf.DUMMYFUNCTION("""COMPUTED_VALUE"""),"")</f>
        <v/>
      </c>
      <c r="J310" s="26"/>
    </row>
    <row r="311" spans="7:10" ht="13.2" x14ac:dyDescent="0.25">
      <c r="G311" s="4" t="str">
        <f ca="1">IFERROR(__xludf.DUMMYFUNCTION("""COMPUTED_VALUE"""),"")</f>
        <v/>
      </c>
      <c r="J311" s="26"/>
    </row>
    <row r="312" spans="7:10" ht="13.2" x14ac:dyDescent="0.25">
      <c r="G312" s="4" t="str">
        <f ca="1">IFERROR(__xludf.DUMMYFUNCTION("""COMPUTED_VALUE"""),"")</f>
        <v/>
      </c>
      <c r="J312" s="26"/>
    </row>
    <row r="313" spans="7:10" ht="13.2" x14ac:dyDescent="0.25">
      <c r="G313" s="4" t="str">
        <f ca="1">IFERROR(__xludf.DUMMYFUNCTION("""COMPUTED_VALUE"""),"")</f>
        <v/>
      </c>
      <c r="J313" s="26"/>
    </row>
    <row r="314" spans="7:10" ht="13.2" x14ac:dyDescent="0.25">
      <c r="G314" s="4" t="str">
        <f ca="1">IFERROR(__xludf.DUMMYFUNCTION("""COMPUTED_VALUE"""),"")</f>
        <v/>
      </c>
      <c r="J314" s="26"/>
    </row>
    <row r="315" spans="7:10" ht="13.2" x14ac:dyDescent="0.25">
      <c r="G315" s="4" t="str">
        <f ca="1">IFERROR(__xludf.DUMMYFUNCTION("""COMPUTED_VALUE"""),"")</f>
        <v/>
      </c>
      <c r="J315" s="26"/>
    </row>
    <row r="316" spans="7:10" ht="13.2" x14ac:dyDescent="0.25">
      <c r="G316" s="4" t="str">
        <f ca="1">IFERROR(__xludf.DUMMYFUNCTION("""COMPUTED_VALUE"""),"")</f>
        <v/>
      </c>
      <c r="J316" s="26"/>
    </row>
    <row r="317" spans="7:10" ht="13.2" x14ac:dyDescent="0.25">
      <c r="G317" s="4" t="str">
        <f ca="1">IFERROR(__xludf.DUMMYFUNCTION("""COMPUTED_VALUE"""),"")</f>
        <v/>
      </c>
      <c r="J317" s="26"/>
    </row>
    <row r="318" spans="7:10" ht="13.2" x14ac:dyDescent="0.25">
      <c r="G318" s="4" t="str">
        <f ca="1">IFERROR(__xludf.DUMMYFUNCTION("""COMPUTED_VALUE"""),"")</f>
        <v/>
      </c>
      <c r="J318" s="26"/>
    </row>
    <row r="319" spans="7:10" ht="13.2" x14ac:dyDescent="0.25">
      <c r="G319" s="4" t="str">
        <f ca="1">IFERROR(__xludf.DUMMYFUNCTION("""COMPUTED_VALUE"""),"")</f>
        <v/>
      </c>
      <c r="J319" s="26"/>
    </row>
    <row r="320" spans="7:10" ht="13.2" x14ac:dyDescent="0.25">
      <c r="G320" s="4" t="str">
        <f ca="1">IFERROR(__xludf.DUMMYFUNCTION("""COMPUTED_VALUE"""),"")</f>
        <v/>
      </c>
      <c r="J320" s="26"/>
    </row>
    <row r="321" spans="7:10" ht="13.2" x14ac:dyDescent="0.25">
      <c r="G321" s="4" t="str">
        <f ca="1">IFERROR(__xludf.DUMMYFUNCTION("""COMPUTED_VALUE"""),"")</f>
        <v/>
      </c>
      <c r="J321" s="26"/>
    </row>
    <row r="322" spans="7:10" ht="13.2" x14ac:dyDescent="0.25">
      <c r="G322" s="4" t="str">
        <f ca="1">IFERROR(__xludf.DUMMYFUNCTION("""COMPUTED_VALUE"""),"")</f>
        <v/>
      </c>
      <c r="J322" s="26"/>
    </row>
    <row r="323" spans="7:10" ht="13.2" x14ac:dyDescent="0.25">
      <c r="G323" s="4" t="str">
        <f ca="1">IFERROR(__xludf.DUMMYFUNCTION("""COMPUTED_VALUE"""),"")</f>
        <v/>
      </c>
      <c r="J323" s="26"/>
    </row>
    <row r="324" spans="7:10" ht="13.2" x14ac:dyDescent="0.25">
      <c r="G324" s="4" t="str">
        <f ca="1">IFERROR(__xludf.DUMMYFUNCTION("""COMPUTED_VALUE"""),"")</f>
        <v/>
      </c>
      <c r="J324" s="26"/>
    </row>
    <row r="325" spans="7:10" ht="13.2" x14ac:dyDescent="0.25">
      <c r="G325" s="4" t="str">
        <f ca="1">IFERROR(__xludf.DUMMYFUNCTION("""COMPUTED_VALUE"""),"")</f>
        <v/>
      </c>
      <c r="J325" s="26"/>
    </row>
    <row r="326" spans="7:10" ht="13.2" x14ac:dyDescent="0.25">
      <c r="G326" s="4" t="str">
        <f ca="1">IFERROR(__xludf.DUMMYFUNCTION("""COMPUTED_VALUE"""),"")</f>
        <v/>
      </c>
      <c r="J326" s="26"/>
    </row>
    <row r="327" spans="7:10" ht="13.2" x14ac:dyDescent="0.25">
      <c r="G327" s="4" t="str">
        <f ca="1">IFERROR(__xludf.DUMMYFUNCTION("""COMPUTED_VALUE"""),"")</f>
        <v/>
      </c>
      <c r="J327" s="26"/>
    </row>
    <row r="328" spans="7:10" ht="13.2" x14ac:dyDescent="0.25">
      <c r="G328" s="4" t="str">
        <f ca="1">IFERROR(__xludf.DUMMYFUNCTION("""COMPUTED_VALUE"""),"")</f>
        <v/>
      </c>
      <c r="J328" s="26"/>
    </row>
    <row r="329" spans="7:10" ht="13.2" x14ac:dyDescent="0.25">
      <c r="G329" s="4" t="str">
        <f ca="1">IFERROR(__xludf.DUMMYFUNCTION("""COMPUTED_VALUE"""),"")</f>
        <v/>
      </c>
      <c r="J329" s="26"/>
    </row>
    <row r="330" spans="7:10" ht="13.2" x14ac:dyDescent="0.25">
      <c r="G330" s="4" t="str">
        <f ca="1">IFERROR(__xludf.DUMMYFUNCTION("""COMPUTED_VALUE"""),"")</f>
        <v/>
      </c>
      <c r="J330" s="26"/>
    </row>
    <row r="331" spans="7:10" ht="13.2" x14ac:dyDescent="0.25">
      <c r="G331" s="4" t="str">
        <f ca="1">IFERROR(__xludf.DUMMYFUNCTION("""COMPUTED_VALUE"""),"")</f>
        <v/>
      </c>
      <c r="J331" s="26"/>
    </row>
    <row r="332" spans="7:10" ht="13.2" x14ac:dyDescent="0.25">
      <c r="G332" s="4" t="str">
        <f ca="1">IFERROR(__xludf.DUMMYFUNCTION("""COMPUTED_VALUE"""),"")</f>
        <v/>
      </c>
      <c r="J332" s="26"/>
    </row>
    <row r="333" spans="7:10" ht="13.2" x14ac:dyDescent="0.25">
      <c r="G333" s="4" t="str">
        <f ca="1">IFERROR(__xludf.DUMMYFUNCTION("""COMPUTED_VALUE"""),"")</f>
        <v/>
      </c>
      <c r="J333" s="26"/>
    </row>
    <row r="334" spans="7:10" ht="13.2" x14ac:dyDescent="0.25">
      <c r="G334" s="4" t="str">
        <f ca="1">IFERROR(__xludf.DUMMYFUNCTION("""COMPUTED_VALUE"""),"")</f>
        <v/>
      </c>
      <c r="J334" s="26"/>
    </row>
    <row r="335" spans="7:10" ht="13.2" x14ac:dyDescent="0.25">
      <c r="G335" s="4" t="str">
        <f ca="1">IFERROR(__xludf.DUMMYFUNCTION("""COMPUTED_VALUE"""),"")</f>
        <v/>
      </c>
      <c r="J335" s="26"/>
    </row>
    <row r="336" spans="7:10" ht="13.2" x14ac:dyDescent="0.25">
      <c r="G336" s="4" t="str">
        <f ca="1">IFERROR(__xludf.DUMMYFUNCTION("""COMPUTED_VALUE"""),"")</f>
        <v/>
      </c>
      <c r="J336" s="26"/>
    </row>
    <row r="337" spans="7:10" ht="13.2" x14ac:dyDescent="0.25">
      <c r="G337" s="4" t="str">
        <f ca="1">IFERROR(__xludf.DUMMYFUNCTION("""COMPUTED_VALUE"""),"")</f>
        <v/>
      </c>
      <c r="J337" s="26"/>
    </row>
    <row r="338" spans="7:10" ht="13.2" x14ac:dyDescent="0.25">
      <c r="G338" s="4" t="str">
        <f ca="1">IFERROR(__xludf.DUMMYFUNCTION("""COMPUTED_VALUE"""),"")</f>
        <v/>
      </c>
      <c r="J338" s="26"/>
    </row>
    <row r="339" spans="7:10" ht="13.2" x14ac:dyDescent="0.25">
      <c r="G339" s="4" t="str">
        <f ca="1">IFERROR(__xludf.DUMMYFUNCTION("""COMPUTED_VALUE"""),"")</f>
        <v/>
      </c>
      <c r="J339" s="26"/>
    </row>
    <row r="340" spans="7:10" ht="13.2" x14ac:dyDescent="0.25">
      <c r="G340" s="4" t="str">
        <f ca="1">IFERROR(__xludf.DUMMYFUNCTION("""COMPUTED_VALUE"""),"")</f>
        <v/>
      </c>
      <c r="J340" s="26"/>
    </row>
    <row r="341" spans="7:10" ht="13.2" x14ac:dyDescent="0.25">
      <c r="G341" s="4" t="str">
        <f ca="1">IFERROR(__xludf.DUMMYFUNCTION("""COMPUTED_VALUE"""),"")</f>
        <v/>
      </c>
      <c r="J341" s="26"/>
    </row>
    <row r="342" spans="7:10" ht="13.2" x14ac:dyDescent="0.25">
      <c r="G342" s="4" t="str">
        <f ca="1">IFERROR(__xludf.DUMMYFUNCTION("""COMPUTED_VALUE"""),"")</f>
        <v/>
      </c>
      <c r="J342" s="26"/>
    </row>
    <row r="343" spans="7:10" ht="13.2" x14ac:dyDescent="0.25">
      <c r="G343" s="4" t="str">
        <f ca="1">IFERROR(__xludf.DUMMYFUNCTION("""COMPUTED_VALUE"""),"")</f>
        <v/>
      </c>
      <c r="J343" s="26"/>
    </row>
    <row r="344" spans="7:10" ht="13.2" x14ac:dyDescent="0.25">
      <c r="G344" s="4" t="str">
        <f ca="1">IFERROR(__xludf.DUMMYFUNCTION("""COMPUTED_VALUE"""),"")</f>
        <v/>
      </c>
      <c r="J344" s="26"/>
    </row>
    <row r="345" spans="7:10" ht="13.2" x14ac:dyDescent="0.25">
      <c r="G345" s="4" t="str">
        <f ca="1">IFERROR(__xludf.DUMMYFUNCTION("""COMPUTED_VALUE"""),"")</f>
        <v/>
      </c>
      <c r="J345" s="26"/>
    </row>
    <row r="346" spans="7:10" ht="13.2" x14ac:dyDescent="0.25">
      <c r="G346" s="4" t="str">
        <f ca="1">IFERROR(__xludf.DUMMYFUNCTION("""COMPUTED_VALUE"""),"")</f>
        <v/>
      </c>
      <c r="J346" s="26"/>
    </row>
    <row r="347" spans="7:10" ht="13.2" x14ac:dyDescent="0.25">
      <c r="G347" s="4" t="str">
        <f ca="1">IFERROR(__xludf.DUMMYFUNCTION("""COMPUTED_VALUE"""),"")</f>
        <v/>
      </c>
      <c r="J347" s="26"/>
    </row>
    <row r="348" spans="7:10" ht="13.2" x14ac:dyDescent="0.25">
      <c r="G348" s="4" t="str">
        <f ca="1">IFERROR(__xludf.DUMMYFUNCTION("""COMPUTED_VALUE"""),"")</f>
        <v/>
      </c>
      <c r="J348" s="26"/>
    </row>
    <row r="349" spans="7:10" ht="13.2" x14ac:dyDescent="0.25">
      <c r="G349" s="4" t="str">
        <f ca="1">IFERROR(__xludf.DUMMYFUNCTION("""COMPUTED_VALUE"""),"")</f>
        <v/>
      </c>
      <c r="J349" s="26"/>
    </row>
    <row r="350" spans="7:10" ht="13.2" x14ac:dyDescent="0.25">
      <c r="G350" s="4" t="str">
        <f ca="1">IFERROR(__xludf.DUMMYFUNCTION("""COMPUTED_VALUE"""),"")</f>
        <v/>
      </c>
      <c r="J350" s="26"/>
    </row>
    <row r="351" spans="7:10" ht="13.2" x14ac:dyDescent="0.25">
      <c r="G351" s="4" t="str">
        <f ca="1">IFERROR(__xludf.DUMMYFUNCTION("""COMPUTED_VALUE"""),"")</f>
        <v/>
      </c>
      <c r="J351" s="26"/>
    </row>
    <row r="352" spans="7:10" ht="13.2" x14ac:dyDescent="0.25">
      <c r="G352" s="4" t="str">
        <f ca="1">IFERROR(__xludf.DUMMYFUNCTION("""COMPUTED_VALUE"""),"")</f>
        <v/>
      </c>
      <c r="J352" s="26"/>
    </row>
    <row r="353" spans="7:10" ht="13.2" x14ac:dyDescent="0.25">
      <c r="G353" s="4" t="str">
        <f ca="1">IFERROR(__xludf.DUMMYFUNCTION("""COMPUTED_VALUE"""),"")</f>
        <v/>
      </c>
      <c r="J353" s="26"/>
    </row>
    <row r="354" spans="7:10" ht="13.2" x14ac:dyDescent="0.25">
      <c r="G354" s="4" t="str">
        <f ca="1">IFERROR(__xludf.DUMMYFUNCTION("""COMPUTED_VALUE"""),"")</f>
        <v/>
      </c>
      <c r="J354" s="26"/>
    </row>
    <row r="355" spans="7:10" ht="13.2" x14ac:dyDescent="0.25">
      <c r="G355" s="4" t="str">
        <f ca="1">IFERROR(__xludf.DUMMYFUNCTION("""COMPUTED_VALUE"""),"")</f>
        <v/>
      </c>
      <c r="J355" s="26"/>
    </row>
    <row r="356" spans="7:10" ht="13.2" x14ac:dyDescent="0.25">
      <c r="G356" s="4" t="str">
        <f ca="1">IFERROR(__xludf.DUMMYFUNCTION("""COMPUTED_VALUE"""),"")</f>
        <v/>
      </c>
      <c r="J356" s="26"/>
    </row>
    <row r="357" spans="7:10" ht="13.2" x14ac:dyDescent="0.25">
      <c r="G357" s="4" t="str">
        <f ca="1">IFERROR(__xludf.DUMMYFUNCTION("""COMPUTED_VALUE"""),"")</f>
        <v/>
      </c>
      <c r="J357" s="26"/>
    </row>
    <row r="358" spans="7:10" ht="13.2" x14ac:dyDescent="0.25">
      <c r="G358" s="4" t="str">
        <f ca="1">IFERROR(__xludf.DUMMYFUNCTION("""COMPUTED_VALUE"""),"")</f>
        <v/>
      </c>
      <c r="J358" s="26"/>
    </row>
    <row r="359" spans="7:10" ht="13.2" x14ac:dyDescent="0.25">
      <c r="G359" s="4" t="str">
        <f ca="1">IFERROR(__xludf.DUMMYFUNCTION("""COMPUTED_VALUE"""),"")</f>
        <v/>
      </c>
      <c r="J359" s="26"/>
    </row>
    <row r="360" spans="7:10" ht="13.2" x14ac:dyDescent="0.25">
      <c r="G360" s="4" t="str">
        <f ca="1">IFERROR(__xludf.DUMMYFUNCTION("""COMPUTED_VALUE"""),"")</f>
        <v/>
      </c>
      <c r="J360" s="26"/>
    </row>
    <row r="361" spans="7:10" ht="13.2" x14ac:dyDescent="0.25">
      <c r="G361" s="4" t="str">
        <f ca="1">IFERROR(__xludf.DUMMYFUNCTION("""COMPUTED_VALUE"""),"")</f>
        <v/>
      </c>
      <c r="J361" s="26"/>
    </row>
    <row r="362" spans="7:10" ht="13.2" x14ac:dyDescent="0.25">
      <c r="G362" s="4" t="str">
        <f ca="1">IFERROR(__xludf.DUMMYFUNCTION("""COMPUTED_VALUE"""),"")</f>
        <v/>
      </c>
      <c r="J362" s="26"/>
    </row>
    <row r="363" spans="7:10" ht="13.2" x14ac:dyDescent="0.25">
      <c r="G363" s="4" t="str">
        <f ca="1">IFERROR(__xludf.DUMMYFUNCTION("""COMPUTED_VALUE"""),"")</f>
        <v/>
      </c>
      <c r="J363" s="26"/>
    </row>
    <row r="364" spans="7:10" ht="13.2" x14ac:dyDescent="0.25">
      <c r="G364" s="4" t="str">
        <f ca="1">IFERROR(__xludf.DUMMYFUNCTION("""COMPUTED_VALUE"""),"")</f>
        <v/>
      </c>
      <c r="J364" s="26"/>
    </row>
    <row r="365" spans="7:10" ht="13.2" x14ac:dyDescent="0.25">
      <c r="G365" s="4" t="str">
        <f ca="1">IFERROR(__xludf.DUMMYFUNCTION("""COMPUTED_VALUE"""),"")</f>
        <v/>
      </c>
      <c r="J365" s="26"/>
    </row>
    <row r="366" spans="7:10" ht="13.2" x14ac:dyDescent="0.25">
      <c r="G366" s="4" t="str">
        <f ca="1">IFERROR(__xludf.DUMMYFUNCTION("""COMPUTED_VALUE"""),"")</f>
        <v/>
      </c>
      <c r="J366" s="26"/>
    </row>
    <row r="367" spans="7:10" ht="13.2" x14ac:dyDescent="0.25">
      <c r="G367" s="4" t="str">
        <f ca="1">IFERROR(__xludf.DUMMYFUNCTION("""COMPUTED_VALUE"""),"")</f>
        <v/>
      </c>
      <c r="J367" s="26"/>
    </row>
    <row r="368" spans="7:10" ht="13.2" x14ac:dyDescent="0.25">
      <c r="G368" s="4" t="str">
        <f ca="1">IFERROR(__xludf.DUMMYFUNCTION("""COMPUTED_VALUE"""),"")</f>
        <v/>
      </c>
      <c r="J368" s="26"/>
    </row>
    <row r="369" spans="7:10" ht="13.2" x14ac:dyDescent="0.25">
      <c r="G369" s="4" t="str">
        <f ca="1">IFERROR(__xludf.DUMMYFUNCTION("""COMPUTED_VALUE"""),"")</f>
        <v/>
      </c>
      <c r="J369" s="26"/>
    </row>
    <row r="370" spans="7:10" ht="13.2" x14ac:dyDescent="0.25">
      <c r="G370" s="4" t="str">
        <f ca="1">IFERROR(__xludf.DUMMYFUNCTION("""COMPUTED_VALUE"""),"")</f>
        <v/>
      </c>
      <c r="J370" s="26"/>
    </row>
    <row r="371" spans="7:10" ht="13.2" x14ac:dyDescent="0.25">
      <c r="G371" s="4" t="str">
        <f ca="1">IFERROR(__xludf.DUMMYFUNCTION("""COMPUTED_VALUE"""),"")</f>
        <v/>
      </c>
      <c r="J371" s="26"/>
    </row>
    <row r="372" spans="7:10" ht="13.2" x14ac:dyDescent="0.25">
      <c r="G372" s="4" t="str">
        <f ca="1">IFERROR(__xludf.DUMMYFUNCTION("""COMPUTED_VALUE"""),"")</f>
        <v/>
      </c>
      <c r="J372" s="26"/>
    </row>
    <row r="373" spans="7:10" ht="13.2" x14ac:dyDescent="0.25">
      <c r="G373" s="4" t="str">
        <f ca="1">IFERROR(__xludf.DUMMYFUNCTION("""COMPUTED_VALUE"""),"")</f>
        <v/>
      </c>
      <c r="J373" s="26"/>
    </row>
    <row r="374" spans="7:10" ht="13.2" x14ac:dyDescent="0.25">
      <c r="G374" s="4" t="str">
        <f ca="1">IFERROR(__xludf.DUMMYFUNCTION("""COMPUTED_VALUE"""),"")</f>
        <v/>
      </c>
      <c r="J374" s="26"/>
    </row>
    <row r="375" spans="7:10" ht="13.2" x14ac:dyDescent="0.25">
      <c r="G375" s="4" t="str">
        <f ca="1">IFERROR(__xludf.DUMMYFUNCTION("""COMPUTED_VALUE"""),"")</f>
        <v/>
      </c>
      <c r="J375" s="26"/>
    </row>
    <row r="376" spans="7:10" ht="13.2" x14ac:dyDescent="0.25">
      <c r="G376" s="4" t="str">
        <f ca="1">IFERROR(__xludf.DUMMYFUNCTION("""COMPUTED_VALUE"""),"")</f>
        <v/>
      </c>
      <c r="J376" s="26"/>
    </row>
    <row r="377" spans="7:10" ht="13.2" x14ac:dyDescent="0.25">
      <c r="G377" s="4" t="str">
        <f ca="1">IFERROR(__xludf.DUMMYFUNCTION("""COMPUTED_VALUE"""),"")</f>
        <v/>
      </c>
      <c r="J377" s="26"/>
    </row>
    <row r="378" spans="7:10" ht="13.2" x14ac:dyDescent="0.25">
      <c r="G378" s="4" t="str">
        <f ca="1">IFERROR(__xludf.DUMMYFUNCTION("""COMPUTED_VALUE"""),"")</f>
        <v/>
      </c>
      <c r="J378" s="26"/>
    </row>
    <row r="379" spans="7:10" ht="13.2" x14ac:dyDescent="0.25">
      <c r="G379" s="4" t="str">
        <f ca="1">IFERROR(__xludf.DUMMYFUNCTION("""COMPUTED_VALUE"""),"")</f>
        <v/>
      </c>
      <c r="J379" s="26"/>
    </row>
    <row r="380" spans="7:10" ht="13.2" x14ac:dyDescent="0.25">
      <c r="G380" s="4" t="str">
        <f ca="1">IFERROR(__xludf.DUMMYFUNCTION("""COMPUTED_VALUE"""),"")</f>
        <v/>
      </c>
      <c r="J380" s="26"/>
    </row>
    <row r="381" spans="7:10" ht="13.2" x14ac:dyDescent="0.25">
      <c r="G381" s="4" t="str">
        <f ca="1">IFERROR(__xludf.DUMMYFUNCTION("""COMPUTED_VALUE"""),"")</f>
        <v/>
      </c>
      <c r="J381" s="26"/>
    </row>
    <row r="382" spans="7:10" ht="13.2" x14ac:dyDescent="0.25">
      <c r="G382" s="4" t="str">
        <f ca="1">IFERROR(__xludf.DUMMYFUNCTION("""COMPUTED_VALUE"""),"")</f>
        <v/>
      </c>
      <c r="J382" s="26"/>
    </row>
    <row r="383" spans="7:10" ht="13.2" x14ac:dyDescent="0.25">
      <c r="G383" s="4" t="str">
        <f ca="1">IFERROR(__xludf.DUMMYFUNCTION("""COMPUTED_VALUE"""),"")</f>
        <v/>
      </c>
      <c r="J383" s="26"/>
    </row>
    <row r="384" spans="7:10" ht="13.2" x14ac:dyDescent="0.25">
      <c r="G384" s="4" t="str">
        <f ca="1">IFERROR(__xludf.DUMMYFUNCTION("""COMPUTED_VALUE"""),"")</f>
        <v/>
      </c>
      <c r="J384" s="26"/>
    </row>
    <row r="385" spans="7:10" ht="13.2" x14ac:dyDescent="0.25">
      <c r="G385" s="4" t="str">
        <f ca="1">IFERROR(__xludf.DUMMYFUNCTION("""COMPUTED_VALUE"""),"")</f>
        <v/>
      </c>
      <c r="J385" s="26"/>
    </row>
    <row r="386" spans="7:10" ht="13.2" x14ac:dyDescent="0.25">
      <c r="G386" s="4" t="str">
        <f ca="1">IFERROR(__xludf.DUMMYFUNCTION("""COMPUTED_VALUE"""),"")</f>
        <v/>
      </c>
      <c r="J386" s="26"/>
    </row>
    <row r="387" spans="7:10" ht="13.2" x14ac:dyDescent="0.25">
      <c r="G387" s="4" t="str">
        <f ca="1">IFERROR(__xludf.DUMMYFUNCTION("""COMPUTED_VALUE"""),"")</f>
        <v/>
      </c>
      <c r="J387" s="26"/>
    </row>
    <row r="388" spans="7:10" ht="13.2" x14ac:dyDescent="0.25">
      <c r="G388" s="4" t="str">
        <f ca="1">IFERROR(__xludf.DUMMYFUNCTION("""COMPUTED_VALUE"""),"")</f>
        <v/>
      </c>
      <c r="J388" s="26"/>
    </row>
    <row r="389" spans="7:10" ht="13.2" x14ac:dyDescent="0.25">
      <c r="G389" s="4" t="str">
        <f ca="1">IFERROR(__xludf.DUMMYFUNCTION("""COMPUTED_VALUE"""),"")</f>
        <v/>
      </c>
      <c r="J389" s="26"/>
    </row>
    <row r="390" spans="7:10" ht="13.2" x14ac:dyDescent="0.25">
      <c r="G390" s="4" t="str">
        <f ca="1">IFERROR(__xludf.DUMMYFUNCTION("""COMPUTED_VALUE"""),"")</f>
        <v/>
      </c>
      <c r="J390" s="26"/>
    </row>
    <row r="391" spans="7:10" ht="13.2" x14ac:dyDescent="0.25">
      <c r="G391" s="4" t="str">
        <f ca="1">IFERROR(__xludf.DUMMYFUNCTION("""COMPUTED_VALUE"""),"")</f>
        <v/>
      </c>
      <c r="J391" s="26"/>
    </row>
    <row r="392" spans="7:10" ht="13.2" x14ac:dyDescent="0.25">
      <c r="G392" s="4" t="str">
        <f ca="1">IFERROR(__xludf.DUMMYFUNCTION("""COMPUTED_VALUE"""),"")</f>
        <v/>
      </c>
      <c r="J392" s="26"/>
    </row>
    <row r="393" spans="7:10" ht="13.2" x14ac:dyDescent="0.25">
      <c r="G393" s="4" t="str">
        <f ca="1">IFERROR(__xludf.DUMMYFUNCTION("""COMPUTED_VALUE"""),"")</f>
        <v/>
      </c>
      <c r="J393" s="26"/>
    </row>
    <row r="394" spans="7:10" ht="13.2" x14ac:dyDescent="0.25">
      <c r="G394" s="4" t="str">
        <f ca="1">IFERROR(__xludf.DUMMYFUNCTION("""COMPUTED_VALUE"""),"")</f>
        <v/>
      </c>
      <c r="J394" s="26"/>
    </row>
    <row r="395" spans="7:10" ht="13.2" x14ac:dyDescent="0.25">
      <c r="G395" s="4" t="str">
        <f ca="1">IFERROR(__xludf.DUMMYFUNCTION("""COMPUTED_VALUE"""),"")</f>
        <v/>
      </c>
      <c r="J395" s="26"/>
    </row>
    <row r="396" spans="7:10" ht="13.2" x14ac:dyDescent="0.25">
      <c r="G396" s="4" t="str">
        <f ca="1">IFERROR(__xludf.DUMMYFUNCTION("""COMPUTED_VALUE"""),"")</f>
        <v/>
      </c>
      <c r="J396" s="26"/>
    </row>
    <row r="397" spans="7:10" ht="13.2" x14ac:dyDescent="0.25">
      <c r="G397" s="4" t="str">
        <f ca="1">IFERROR(__xludf.DUMMYFUNCTION("""COMPUTED_VALUE"""),"")</f>
        <v/>
      </c>
      <c r="J397" s="26"/>
    </row>
    <row r="398" spans="7:10" ht="13.2" x14ac:dyDescent="0.25">
      <c r="G398" s="4" t="str">
        <f ca="1">IFERROR(__xludf.DUMMYFUNCTION("""COMPUTED_VALUE"""),"")</f>
        <v/>
      </c>
      <c r="J398" s="26"/>
    </row>
    <row r="399" spans="7:10" ht="13.2" x14ac:dyDescent="0.25">
      <c r="G399" s="4" t="str">
        <f ca="1">IFERROR(__xludf.DUMMYFUNCTION("""COMPUTED_VALUE"""),"")</f>
        <v/>
      </c>
      <c r="J399" s="26"/>
    </row>
    <row r="400" spans="7:10" ht="13.2" x14ac:dyDescent="0.25">
      <c r="G400" s="4" t="str">
        <f ca="1">IFERROR(__xludf.DUMMYFUNCTION("""COMPUTED_VALUE"""),"")</f>
        <v/>
      </c>
      <c r="J400" s="26"/>
    </row>
    <row r="401" spans="7:10" ht="13.2" x14ac:dyDescent="0.25">
      <c r="G401" s="4" t="str">
        <f ca="1">IFERROR(__xludf.DUMMYFUNCTION("""COMPUTED_VALUE"""),"")</f>
        <v/>
      </c>
      <c r="J401" s="26"/>
    </row>
    <row r="402" spans="7:10" ht="13.2" x14ac:dyDescent="0.25">
      <c r="G402" s="4" t="str">
        <f ca="1">IFERROR(__xludf.DUMMYFUNCTION("""COMPUTED_VALUE"""),"")</f>
        <v/>
      </c>
      <c r="J402" s="26"/>
    </row>
    <row r="403" spans="7:10" ht="13.2" x14ac:dyDescent="0.25">
      <c r="G403" s="4" t="str">
        <f ca="1">IFERROR(__xludf.DUMMYFUNCTION("""COMPUTED_VALUE"""),"")</f>
        <v/>
      </c>
      <c r="J403" s="26"/>
    </row>
    <row r="404" spans="7:10" ht="13.2" x14ac:dyDescent="0.25">
      <c r="G404" s="4" t="str">
        <f ca="1">IFERROR(__xludf.DUMMYFUNCTION("""COMPUTED_VALUE"""),"")</f>
        <v/>
      </c>
      <c r="J404" s="26"/>
    </row>
    <row r="405" spans="7:10" ht="13.2" x14ac:dyDescent="0.25">
      <c r="G405" s="4" t="str">
        <f ca="1">IFERROR(__xludf.DUMMYFUNCTION("""COMPUTED_VALUE"""),"")</f>
        <v/>
      </c>
      <c r="J405" s="26"/>
    </row>
    <row r="406" spans="7:10" ht="13.2" x14ac:dyDescent="0.25">
      <c r="G406" s="4" t="str">
        <f ca="1">IFERROR(__xludf.DUMMYFUNCTION("""COMPUTED_VALUE"""),"")</f>
        <v/>
      </c>
      <c r="J406" s="26"/>
    </row>
    <row r="407" spans="7:10" ht="13.2" x14ac:dyDescent="0.25">
      <c r="G407" s="4" t="str">
        <f ca="1">IFERROR(__xludf.DUMMYFUNCTION("""COMPUTED_VALUE"""),"")</f>
        <v/>
      </c>
      <c r="J407" s="26"/>
    </row>
    <row r="408" spans="7:10" ht="13.2" x14ac:dyDescent="0.25">
      <c r="G408" s="4" t="str">
        <f ca="1">IFERROR(__xludf.DUMMYFUNCTION("""COMPUTED_VALUE"""),"")</f>
        <v/>
      </c>
      <c r="J408" s="26"/>
    </row>
    <row r="409" spans="7:10" ht="13.2" x14ac:dyDescent="0.25">
      <c r="G409" s="4" t="str">
        <f ca="1">IFERROR(__xludf.DUMMYFUNCTION("""COMPUTED_VALUE"""),"")</f>
        <v/>
      </c>
      <c r="J409" s="26"/>
    </row>
    <row r="410" spans="7:10" ht="13.2" x14ac:dyDescent="0.25">
      <c r="G410" s="4" t="str">
        <f ca="1">IFERROR(__xludf.DUMMYFUNCTION("""COMPUTED_VALUE"""),"")</f>
        <v/>
      </c>
      <c r="J410" s="26"/>
    </row>
    <row r="411" spans="7:10" ht="13.2" x14ac:dyDescent="0.25">
      <c r="G411" s="4" t="str">
        <f ca="1">IFERROR(__xludf.DUMMYFUNCTION("""COMPUTED_VALUE"""),"")</f>
        <v/>
      </c>
      <c r="J411" s="26"/>
    </row>
    <row r="412" spans="7:10" ht="13.2" x14ac:dyDescent="0.25">
      <c r="G412" s="4" t="str">
        <f ca="1">IFERROR(__xludf.DUMMYFUNCTION("""COMPUTED_VALUE"""),"")</f>
        <v/>
      </c>
      <c r="J412" s="26"/>
    </row>
    <row r="413" spans="7:10" ht="13.2" x14ac:dyDescent="0.25">
      <c r="G413" s="4" t="str">
        <f ca="1">IFERROR(__xludf.DUMMYFUNCTION("""COMPUTED_VALUE"""),"")</f>
        <v/>
      </c>
      <c r="J413" s="26"/>
    </row>
    <row r="414" spans="7:10" ht="13.2" x14ac:dyDescent="0.25">
      <c r="G414" s="4" t="str">
        <f ca="1">IFERROR(__xludf.DUMMYFUNCTION("""COMPUTED_VALUE"""),"")</f>
        <v/>
      </c>
      <c r="J414" s="26"/>
    </row>
    <row r="415" spans="7:10" ht="13.2" x14ac:dyDescent="0.25">
      <c r="G415" s="4" t="str">
        <f ca="1">IFERROR(__xludf.DUMMYFUNCTION("""COMPUTED_VALUE"""),"")</f>
        <v/>
      </c>
      <c r="J415" s="26"/>
    </row>
    <row r="416" spans="7:10" ht="13.2" x14ac:dyDescent="0.25">
      <c r="G416" s="4" t="str">
        <f ca="1">IFERROR(__xludf.DUMMYFUNCTION("""COMPUTED_VALUE"""),"")</f>
        <v/>
      </c>
      <c r="J416" s="26"/>
    </row>
    <row r="417" spans="7:10" ht="13.2" x14ac:dyDescent="0.25">
      <c r="G417" s="4" t="str">
        <f ca="1">IFERROR(__xludf.DUMMYFUNCTION("""COMPUTED_VALUE"""),"")</f>
        <v/>
      </c>
      <c r="J417" s="26"/>
    </row>
    <row r="418" spans="7:10" ht="13.2" x14ac:dyDescent="0.25">
      <c r="G418" s="4" t="str">
        <f ca="1">IFERROR(__xludf.DUMMYFUNCTION("""COMPUTED_VALUE"""),"")</f>
        <v/>
      </c>
      <c r="J418" s="26"/>
    </row>
    <row r="419" spans="7:10" ht="13.2" x14ac:dyDescent="0.25">
      <c r="G419" s="4" t="str">
        <f ca="1">IFERROR(__xludf.DUMMYFUNCTION("""COMPUTED_VALUE"""),"")</f>
        <v/>
      </c>
      <c r="J419" s="26"/>
    </row>
    <row r="420" spans="7:10" ht="13.2" x14ac:dyDescent="0.25">
      <c r="G420" s="4" t="str">
        <f ca="1">IFERROR(__xludf.DUMMYFUNCTION("""COMPUTED_VALUE"""),"")</f>
        <v/>
      </c>
      <c r="J420" s="26"/>
    </row>
    <row r="421" spans="7:10" ht="13.2" x14ac:dyDescent="0.25">
      <c r="G421" s="4" t="str">
        <f ca="1">IFERROR(__xludf.DUMMYFUNCTION("""COMPUTED_VALUE"""),"")</f>
        <v/>
      </c>
      <c r="J421" s="26"/>
    </row>
    <row r="422" spans="7:10" ht="13.2" x14ac:dyDescent="0.25">
      <c r="G422" s="4" t="str">
        <f ca="1">IFERROR(__xludf.DUMMYFUNCTION("""COMPUTED_VALUE"""),"")</f>
        <v/>
      </c>
      <c r="J422" s="26"/>
    </row>
    <row r="423" spans="7:10" ht="13.2" x14ac:dyDescent="0.25">
      <c r="G423" s="4" t="str">
        <f ca="1">IFERROR(__xludf.DUMMYFUNCTION("""COMPUTED_VALUE"""),"")</f>
        <v/>
      </c>
      <c r="J423" s="26"/>
    </row>
    <row r="424" spans="7:10" ht="13.2" x14ac:dyDescent="0.25">
      <c r="G424" s="4" t="str">
        <f ca="1">IFERROR(__xludf.DUMMYFUNCTION("""COMPUTED_VALUE"""),"")</f>
        <v/>
      </c>
      <c r="J424" s="26"/>
    </row>
    <row r="425" spans="7:10" ht="13.2" x14ac:dyDescent="0.25">
      <c r="G425" s="4" t="str">
        <f ca="1">IFERROR(__xludf.DUMMYFUNCTION("""COMPUTED_VALUE"""),"")</f>
        <v/>
      </c>
      <c r="J425" s="26"/>
    </row>
    <row r="426" spans="7:10" ht="13.2" x14ac:dyDescent="0.25">
      <c r="G426" s="4" t="str">
        <f ca="1">IFERROR(__xludf.DUMMYFUNCTION("""COMPUTED_VALUE"""),"")</f>
        <v/>
      </c>
      <c r="J426" s="26"/>
    </row>
    <row r="427" spans="7:10" ht="13.2" x14ac:dyDescent="0.25">
      <c r="G427" s="4" t="str">
        <f ca="1">IFERROR(__xludf.DUMMYFUNCTION("""COMPUTED_VALUE"""),"")</f>
        <v/>
      </c>
      <c r="J427" s="26"/>
    </row>
    <row r="428" spans="7:10" ht="13.2" x14ac:dyDescent="0.25">
      <c r="G428" s="4" t="str">
        <f ca="1">IFERROR(__xludf.DUMMYFUNCTION("""COMPUTED_VALUE"""),"")</f>
        <v/>
      </c>
      <c r="J428" s="26"/>
    </row>
    <row r="429" spans="7:10" ht="13.2" x14ac:dyDescent="0.25">
      <c r="G429" s="4" t="str">
        <f ca="1">IFERROR(__xludf.DUMMYFUNCTION("""COMPUTED_VALUE"""),"")</f>
        <v/>
      </c>
      <c r="J429" s="26"/>
    </row>
    <row r="430" spans="7:10" ht="13.2" x14ac:dyDescent="0.25">
      <c r="G430" s="4" t="str">
        <f ca="1">IFERROR(__xludf.DUMMYFUNCTION("""COMPUTED_VALUE"""),"")</f>
        <v/>
      </c>
      <c r="J430" s="26"/>
    </row>
    <row r="431" spans="7:10" ht="13.2" x14ac:dyDescent="0.25">
      <c r="G431" s="4" t="str">
        <f ca="1">IFERROR(__xludf.DUMMYFUNCTION("""COMPUTED_VALUE"""),"")</f>
        <v/>
      </c>
      <c r="J431" s="26"/>
    </row>
    <row r="432" spans="7:10" ht="13.2" x14ac:dyDescent="0.25">
      <c r="G432" s="4" t="str">
        <f ca="1">IFERROR(__xludf.DUMMYFUNCTION("""COMPUTED_VALUE"""),"")</f>
        <v/>
      </c>
      <c r="J432" s="26"/>
    </row>
    <row r="433" spans="7:10" ht="13.2" x14ac:dyDescent="0.25">
      <c r="G433" s="4" t="str">
        <f ca="1">IFERROR(__xludf.DUMMYFUNCTION("""COMPUTED_VALUE"""),"")</f>
        <v/>
      </c>
      <c r="J433" s="26"/>
    </row>
    <row r="434" spans="7:10" ht="13.2" x14ac:dyDescent="0.25">
      <c r="G434" s="4" t="str">
        <f ca="1">IFERROR(__xludf.DUMMYFUNCTION("""COMPUTED_VALUE"""),"")</f>
        <v/>
      </c>
      <c r="J434" s="26"/>
    </row>
    <row r="435" spans="7:10" ht="13.2" x14ac:dyDescent="0.25">
      <c r="G435" s="4" t="str">
        <f ca="1">IFERROR(__xludf.DUMMYFUNCTION("""COMPUTED_VALUE"""),"")</f>
        <v/>
      </c>
      <c r="J435" s="26"/>
    </row>
    <row r="436" spans="7:10" ht="13.2" x14ac:dyDescent="0.25">
      <c r="G436" s="4" t="str">
        <f ca="1">IFERROR(__xludf.DUMMYFUNCTION("""COMPUTED_VALUE"""),"")</f>
        <v/>
      </c>
      <c r="J436" s="26"/>
    </row>
    <row r="437" spans="7:10" ht="13.2" x14ac:dyDescent="0.25">
      <c r="G437" s="4" t="str">
        <f ca="1">IFERROR(__xludf.DUMMYFUNCTION("""COMPUTED_VALUE"""),"")</f>
        <v/>
      </c>
      <c r="J437" s="26"/>
    </row>
    <row r="438" spans="7:10" ht="13.2" x14ac:dyDescent="0.25">
      <c r="G438" s="4" t="str">
        <f ca="1">IFERROR(__xludf.DUMMYFUNCTION("""COMPUTED_VALUE"""),"")</f>
        <v/>
      </c>
      <c r="J438" s="26"/>
    </row>
    <row r="439" spans="7:10" ht="13.2" x14ac:dyDescent="0.25">
      <c r="G439" s="4" t="str">
        <f ca="1">IFERROR(__xludf.DUMMYFUNCTION("""COMPUTED_VALUE"""),"")</f>
        <v/>
      </c>
      <c r="J439" s="26"/>
    </row>
    <row r="440" spans="7:10" ht="13.2" x14ac:dyDescent="0.25">
      <c r="G440" s="4" t="str">
        <f ca="1">IFERROR(__xludf.DUMMYFUNCTION("""COMPUTED_VALUE"""),"")</f>
        <v/>
      </c>
      <c r="J440" s="26"/>
    </row>
    <row r="441" spans="7:10" ht="13.2" x14ac:dyDescent="0.25">
      <c r="G441" s="4" t="str">
        <f ca="1">IFERROR(__xludf.DUMMYFUNCTION("""COMPUTED_VALUE"""),"")</f>
        <v/>
      </c>
      <c r="J441" s="26"/>
    </row>
    <row r="442" spans="7:10" ht="13.2" x14ac:dyDescent="0.25">
      <c r="G442" s="4" t="str">
        <f ca="1">IFERROR(__xludf.DUMMYFUNCTION("""COMPUTED_VALUE"""),"")</f>
        <v/>
      </c>
      <c r="J442" s="26"/>
    </row>
    <row r="443" spans="7:10" ht="13.2" x14ac:dyDescent="0.25">
      <c r="G443" s="4" t="str">
        <f ca="1">IFERROR(__xludf.DUMMYFUNCTION("""COMPUTED_VALUE"""),"")</f>
        <v/>
      </c>
      <c r="J443" s="26"/>
    </row>
    <row r="444" spans="7:10" ht="13.2" x14ac:dyDescent="0.25">
      <c r="G444" s="4" t="str">
        <f ca="1">IFERROR(__xludf.DUMMYFUNCTION("""COMPUTED_VALUE"""),"")</f>
        <v/>
      </c>
      <c r="J444" s="26"/>
    </row>
    <row r="445" spans="7:10" ht="13.2" x14ac:dyDescent="0.25">
      <c r="G445" s="4" t="str">
        <f ca="1">IFERROR(__xludf.DUMMYFUNCTION("""COMPUTED_VALUE"""),"")</f>
        <v/>
      </c>
      <c r="J445" s="26"/>
    </row>
    <row r="446" spans="7:10" ht="13.2" x14ac:dyDescent="0.25">
      <c r="G446" s="4" t="str">
        <f ca="1">IFERROR(__xludf.DUMMYFUNCTION("""COMPUTED_VALUE"""),"")</f>
        <v/>
      </c>
      <c r="J446" s="26"/>
    </row>
    <row r="447" spans="7:10" ht="13.2" x14ac:dyDescent="0.25">
      <c r="G447" s="4" t="str">
        <f ca="1">IFERROR(__xludf.DUMMYFUNCTION("""COMPUTED_VALUE"""),"")</f>
        <v/>
      </c>
      <c r="J447" s="26"/>
    </row>
    <row r="448" spans="7:10" ht="13.2" x14ac:dyDescent="0.25">
      <c r="G448" s="4" t="str">
        <f ca="1">IFERROR(__xludf.DUMMYFUNCTION("""COMPUTED_VALUE"""),"")</f>
        <v/>
      </c>
      <c r="J448" s="26"/>
    </row>
    <row r="449" spans="7:10" ht="13.2" x14ac:dyDescent="0.25">
      <c r="G449" s="4" t="str">
        <f ca="1">IFERROR(__xludf.DUMMYFUNCTION("""COMPUTED_VALUE"""),"")</f>
        <v/>
      </c>
      <c r="J449" s="26"/>
    </row>
    <row r="450" spans="7:10" ht="13.2" x14ac:dyDescent="0.25">
      <c r="G450" s="4" t="str">
        <f ca="1">IFERROR(__xludf.DUMMYFUNCTION("""COMPUTED_VALUE"""),"")</f>
        <v/>
      </c>
      <c r="J450" s="26"/>
    </row>
    <row r="451" spans="7:10" ht="13.2" x14ac:dyDescent="0.25">
      <c r="G451" s="4" t="str">
        <f ca="1">IFERROR(__xludf.DUMMYFUNCTION("""COMPUTED_VALUE"""),"")</f>
        <v/>
      </c>
      <c r="J451" s="26"/>
    </row>
    <row r="452" spans="7:10" ht="13.2" x14ac:dyDescent="0.25">
      <c r="G452" s="4" t="str">
        <f ca="1">IFERROR(__xludf.DUMMYFUNCTION("""COMPUTED_VALUE"""),"")</f>
        <v/>
      </c>
      <c r="J452" s="26"/>
    </row>
    <row r="453" spans="7:10" ht="13.2" x14ac:dyDescent="0.25">
      <c r="G453" s="4" t="str">
        <f ca="1">IFERROR(__xludf.DUMMYFUNCTION("""COMPUTED_VALUE"""),"")</f>
        <v/>
      </c>
      <c r="J453" s="26"/>
    </row>
    <row r="454" spans="7:10" ht="13.2" x14ac:dyDescent="0.25">
      <c r="G454" s="4" t="str">
        <f ca="1">IFERROR(__xludf.DUMMYFUNCTION("""COMPUTED_VALUE"""),"")</f>
        <v/>
      </c>
      <c r="J454" s="26"/>
    </row>
    <row r="455" spans="7:10" ht="13.2" x14ac:dyDescent="0.25">
      <c r="G455" s="4" t="str">
        <f ca="1">IFERROR(__xludf.DUMMYFUNCTION("""COMPUTED_VALUE"""),"")</f>
        <v/>
      </c>
      <c r="J455" s="26"/>
    </row>
    <row r="456" spans="7:10" ht="13.2" x14ac:dyDescent="0.25">
      <c r="G456" s="4" t="str">
        <f ca="1">IFERROR(__xludf.DUMMYFUNCTION("""COMPUTED_VALUE"""),"")</f>
        <v/>
      </c>
      <c r="J456" s="26"/>
    </row>
    <row r="457" spans="7:10" ht="13.2" x14ac:dyDescent="0.25">
      <c r="G457" s="4" t="str">
        <f ca="1">IFERROR(__xludf.DUMMYFUNCTION("""COMPUTED_VALUE"""),"")</f>
        <v/>
      </c>
      <c r="J457" s="26"/>
    </row>
    <row r="458" spans="7:10" ht="13.2" x14ac:dyDescent="0.25">
      <c r="G458" s="4" t="str">
        <f ca="1">IFERROR(__xludf.DUMMYFUNCTION("""COMPUTED_VALUE"""),"")</f>
        <v/>
      </c>
      <c r="J458" s="26"/>
    </row>
    <row r="459" spans="7:10" ht="13.2" x14ac:dyDescent="0.25">
      <c r="G459" s="4" t="str">
        <f ca="1">IFERROR(__xludf.DUMMYFUNCTION("""COMPUTED_VALUE"""),"")</f>
        <v/>
      </c>
      <c r="J459" s="26"/>
    </row>
    <row r="460" spans="7:10" ht="13.2" x14ac:dyDescent="0.25">
      <c r="G460" s="4" t="str">
        <f ca="1">IFERROR(__xludf.DUMMYFUNCTION("""COMPUTED_VALUE"""),"")</f>
        <v/>
      </c>
      <c r="J460" s="26"/>
    </row>
    <row r="461" spans="7:10" ht="13.2" x14ac:dyDescent="0.25">
      <c r="G461" s="4" t="str">
        <f ca="1">IFERROR(__xludf.DUMMYFUNCTION("""COMPUTED_VALUE"""),"")</f>
        <v/>
      </c>
      <c r="J461" s="26"/>
    </row>
    <row r="462" spans="7:10" ht="13.2" x14ac:dyDescent="0.25">
      <c r="G462" s="4" t="str">
        <f ca="1">IFERROR(__xludf.DUMMYFUNCTION("""COMPUTED_VALUE"""),"")</f>
        <v/>
      </c>
      <c r="J462" s="26"/>
    </row>
    <row r="463" spans="7:10" ht="13.2" x14ac:dyDescent="0.25">
      <c r="G463" s="4" t="str">
        <f ca="1">IFERROR(__xludf.DUMMYFUNCTION("""COMPUTED_VALUE"""),"")</f>
        <v/>
      </c>
      <c r="J463" s="26"/>
    </row>
    <row r="464" spans="7:10" ht="13.2" x14ac:dyDescent="0.25">
      <c r="G464" s="4" t="str">
        <f ca="1">IFERROR(__xludf.DUMMYFUNCTION("""COMPUTED_VALUE"""),"")</f>
        <v/>
      </c>
      <c r="J464" s="26"/>
    </row>
    <row r="465" spans="7:10" ht="13.2" x14ac:dyDescent="0.25">
      <c r="G465" s="4" t="str">
        <f ca="1">IFERROR(__xludf.DUMMYFUNCTION("""COMPUTED_VALUE"""),"")</f>
        <v/>
      </c>
      <c r="J465" s="26"/>
    </row>
    <row r="466" spans="7:10" ht="13.2" x14ac:dyDescent="0.25">
      <c r="G466" s="4" t="str">
        <f ca="1">IFERROR(__xludf.DUMMYFUNCTION("""COMPUTED_VALUE"""),"")</f>
        <v/>
      </c>
      <c r="J466" s="26"/>
    </row>
    <row r="467" spans="7:10" ht="13.2" x14ac:dyDescent="0.25">
      <c r="G467" s="4" t="str">
        <f ca="1">IFERROR(__xludf.DUMMYFUNCTION("""COMPUTED_VALUE"""),"")</f>
        <v/>
      </c>
      <c r="J467" s="26"/>
    </row>
    <row r="468" spans="7:10" ht="13.2" x14ac:dyDescent="0.25">
      <c r="G468" s="4" t="str">
        <f ca="1">IFERROR(__xludf.DUMMYFUNCTION("""COMPUTED_VALUE"""),"")</f>
        <v/>
      </c>
      <c r="J468" s="26"/>
    </row>
    <row r="469" spans="7:10" ht="13.2" x14ac:dyDescent="0.25">
      <c r="G469" s="4" t="str">
        <f ca="1">IFERROR(__xludf.DUMMYFUNCTION("""COMPUTED_VALUE"""),"")</f>
        <v/>
      </c>
      <c r="J469" s="26"/>
    </row>
    <row r="470" spans="7:10" ht="13.2" x14ac:dyDescent="0.25">
      <c r="G470" s="4" t="str">
        <f ca="1">IFERROR(__xludf.DUMMYFUNCTION("""COMPUTED_VALUE"""),"")</f>
        <v/>
      </c>
      <c r="J470" s="26"/>
    </row>
    <row r="471" spans="7:10" ht="13.2" x14ac:dyDescent="0.25">
      <c r="G471" s="4" t="str">
        <f ca="1">IFERROR(__xludf.DUMMYFUNCTION("""COMPUTED_VALUE"""),"")</f>
        <v/>
      </c>
      <c r="J471" s="26"/>
    </row>
    <row r="472" spans="7:10" ht="13.2" x14ac:dyDescent="0.25">
      <c r="G472" s="4" t="str">
        <f ca="1">IFERROR(__xludf.DUMMYFUNCTION("""COMPUTED_VALUE"""),"")</f>
        <v/>
      </c>
      <c r="J472" s="26"/>
    </row>
    <row r="473" spans="7:10" ht="13.2" x14ac:dyDescent="0.25">
      <c r="G473" s="4" t="str">
        <f ca="1">IFERROR(__xludf.DUMMYFUNCTION("""COMPUTED_VALUE"""),"")</f>
        <v/>
      </c>
      <c r="J473" s="26"/>
    </row>
    <row r="474" spans="7:10" ht="13.2" x14ac:dyDescent="0.25">
      <c r="G474" s="4" t="str">
        <f ca="1">IFERROR(__xludf.DUMMYFUNCTION("""COMPUTED_VALUE"""),"")</f>
        <v/>
      </c>
      <c r="J474" s="26"/>
    </row>
    <row r="475" spans="7:10" ht="13.2" x14ac:dyDescent="0.25">
      <c r="G475" s="4" t="str">
        <f ca="1">IFERROR(__xludf.DUMMYFUNCTION("""COMPUTED_VALUE"""),"")</f>
        <v/>
      </c>
      <c r="J475" s="26"/>
    </row>
    <row r="476" spans="7:10" ht="13.2" x14ac:dyDescent="0.25">
      <c r="G476" s="4" t="str">
        <f ca="1">IFERROR(__xludf.DUMMYFUNCTION("""COMPUTED_VALUE"""),"")</f>
        <v/>
      </c>
      <c r="J476" s="26"/>
    </row>
    <row r="477" spans="7:10" ht="13.2" x14ac:dyDescent="0.25">
      <c r="G477" s="4" t="str">
        <f ca="1">IFERROR(__xludf.DUMMYFUNCTION("""COMPUTED_VALUE"""),"")</f>
        <v/>
      </c>
      <c r="J477" s="26"/>
    </row>
    <row r="478" spans="7:10" ht="13.2" x14ac:dyDescent="0.25">
      <c r="G478" s="4" t="str">
        <f ca="1">IFERROR(__xludf.DUMMYFUNCTION("""COMPUTED_VALUE"""),"")</f>
        <v/>
      </c>
      <c r="J478" s="26"/>
    </row>
    <row r="479" spans="7:10" ht="13.2" x14ac:dyDescent="0.25">
      <c r="G479" s="4" t="str">
        <f ca="1">IFERROR(__xludf.DUMMYFUNCTION("""COMPUTED_VALUE"""),"")</f>
        <v/>
      </c>
      <c r="J479" s="26"/>
    </row>
    <row r="480" spans="7:10" ht="13.2" x14ac:dyDescent="0.25">
      <c r="G480" s="4" t="str">
        <f ca="1">IFERROR(__xludf.DUMMYFUNCTION("""COMPUTED_VALUE"""),"")</f>
        <v/>
      </c>
      <c r="J480" s="26"/>
    </row>
    <row r="481" spans="7:10" ht="13.2" x14ac:dyDescent="0.25">
      <c r="G481" s="4" t="str">
        <f ca="1">IFERROR(__xludf.DUMMYFUNCTION("""COMPUTED_VALUE"""),"")</f>
        <v/>
      </c>
      <c r="J481" s="26"/>
    </row>
    <row r="482" spans="7:10" ht="13.2" x14ac:dyDescent="0.25">
      <c r="G482" s="4" t="str">
        <f ca="1">IFERROR(__xludf.DUMMYFUNCTION("""COMPUTED_VALUE"""),"")</f>
        <v/>
      </c>
      <c r="J482" s="26"/>
    </row>
    <row r="483" spans="7:10" ht="13.2" x14ac:dyDescent="0.25">
      <c r="G483" s="4" t="str">
        <f ca="1">IFERROR(__xludf.DUMMYFUNCTION("""COMPUTED_VALUE"""),"")</f>
        <v/>
      </c>
      <c r="J483" s="26"/>
    </row>
    <row r="484" spans="7:10" ht="13.2" x14ac:dyDescent="0.25">
      <c r="G484" s="4" t="str">
        <f ca="1">IFERROR(__xludf.DUMMYFUNCTION("""COMPUTED_VALUE"""),"")</f>
        <v/>
      </c>
      <c r="J484" s="26"/>
    </row>
    <row r="485" spans="7:10" ht="13.2" x14ac:dyDescent="0.25">
      <c r="G485" s="4" t="str">
        <f ca="1">IFERROR(__xludf.DUMMYFUNCTION("""COMPUTED_VALUE"""),"")</f>
        <v/>
      </c>
      <c r="J485" s="26"/>
    </row>
    <row r="486" spans="7:10" ht="13.2" x14ac:dyDescent="0.25">
      <c r="G486" s="4" t="str">
        <f ca="1">IFERROR(__xludf.DUMMYFUNCTION("""COMPUTED_VALUE"""),"")</f>
        <v/>
      </c>
      <c r="J486" s="26"/>
    </row>
    <row r="487" spans="7:10" ht="13.2" x14ac:dyDescent="0.25">
      <c r="G487" s="4" t="str">
        <f ca="1">IFERROR(__xludf.DUMMYFUNCTION("""COMPUTED_VALUE"""),"")</f>
        <v/>
      </c>
      <c r="J487" s="26"/>
    </row>
    <row r="488" spans="7:10" ht="13.2" x14ac:dyDescent="0.25">
      <c r="G488" s="4" t="str">
        <f ca="1">IFERROR(__xludf.DUMMYFUNCTION("""COMPUTED_VALUE"""),"")</f>
        <v/>
      </c>
      <c r="J488" s="26"/>
    </row>
    <row r="489" spans="7:10" ht="13.2" x14ac:dyDescent="0.25">
      <c r="G489" s="4" t="str">
        <f ca="1">IFERROR(__xludf.DUMMYFUNCTION("""COMPUTED_VALUE"""),"")</f>
        <v/>
      </c>
      <c r="J489" s="26"/>
    </row>
    <row r="490" spans="7:10" ht="13.2" x14ac:dyDescent="0.25">
      <c r="G490" s="4" t="str">
        <f ca="1">IFERROR(__xludf.DUMMYFUNCTION("""COMPUTED_VALUE"""),"")</f>
        <v/>
      </c>
      <c r="J490" s="26"/>
    </row>
    <row r="491" spans="7:10" ht="13.2" x14ac:dyDescent="0.25">
      <c r="G491" s="4" t="str">
        <f ca="1">IFERROR(__xludf.DUMMYFUNCTION("""COMPUTED_VALUE"""),"")</f>
        <v/>
      </c>
      <c r="J491" s="26"/>
    </row>
    <row r="492" spans="7:10" ht="13.2" x14ac:dyDescent="0.25">
      <c r="G492" s="4" t="str">
        <f ca="1">IFERROR(__xludf.DUMMYFUNCTION("""COMPUTED_VALUE"""),"")</f>
        <v/>
      </c>
      <c r="J492" s="26"/>
    </row>
    <row r="493" spans="7:10" ht="13.2" x14ac:dyDescent="0.25">
      <c r="G493" s="4" t="str">
        <f ca="1">IFERROR(__xludf.DUMMYFUNCTION("""COMPUTED_VALUE"""),"")</f>
        <v/>
      </c>
      <c r="J493" s="26"/>
    </row>
    <row r="494" spans="7:10" ht="13.2" x14ac:dyDescent="0.25">
      <c r="G494" s="4" t="str">
        <f ca="1">IFERROR(__xludf.DUMMYFUNCTION("""COMPUTED_VALUE"""),"")</f>
        <v/>
      </c>
      <c r="J494" s="26"/>
    </row>
    <row r="495" spans="7:10" ht="13.2" x14ac:dyDescent="0.25">
      <c r="G495" s="4" t="str">
        <f ca="1">IFERROR(__xludf.DUMMYFUNCTION("""COMPUTED_VALUE"""),"")</f>
        <v/>
      </c>
      <c r="J495" s="26"/>
    </row>
    <row r="496" spans="7:10" ht="13.2" x14ac:dyDescent="0.25">
      <c r="G496" s="4" t="str">
        <f ca="1">IFERROR(__xludf.DUMMYFUNCTION("""COMPUTED_VALUE"""),"")</f>
        <v/>
      </c>
      <c r="J496" s="26"/>
    </row>
    <row r="497" spans="7:10" ht="13.2" x14ac:dyDescent="0.25">
      <c r="G497" s="4" t="str">
        <f ca="1">IFERROR(__xludf.DUMMYFUNCTION("""COMPUTED_VALUE"""),"")</f>
        <v/>
      </c>
      <c r="J497" s="26"/>
    </row>
    <row r="498" spans="7:10" ht="13.2" x14ac:dyDescent="0.25">
      <c r="G498" s="4" t="str">
        <f ca="1">IFERROR(__xludf.DUMMYFUNCTION("""COMPUTED_VALUE"""),"")</f>
        <v/>
      </c>
      <c r="J498" s="26"/>
    </row>
    <row r="499" spans="7:10" ht="13.2" x14ac:dyDescent="0.25">
      <c r="G499" s="4" t="str">
        <f ca="1">IFERROR(__xludf.DUMMYFUNCTION("""COMPUTED_VALUE"""),"")</f>
        <v/>
      </c>
      <c r="J499" s="26"/>
    </row>
    <row r="500" spans="7:10" ht="13.2" x14ac:dyDescent="0.25">
      <c r="G500" s="4" t="str">
        <f ca="1">IFERROR(__xludf.DUMMYFUNCTION("""COMPUTED_VALUE"""),"")</f>
        <v/>
      </c>
      <c r="J500" s="26"/>
    </row>
    <row r="501" spans="7:10" ht="13.2" x14ac:dyDescent="0.25">
      <c r="G501" s="4" t="str">
        <f ca="1">IFERROR(__xludf.DUMMYFUNCTION("""COMPUTED_VALUE"""),"")</f>
        <v/>
      </c>
      <c r="J501" s="26"/>
    </row>
    <row r="502" spans="7:10" ht="13.2" x14ac:dyDescent="0.25">
      <c r="G502" s="4" t="str">
        <f ca="1">IFERROR(__xludf.DUMMYFUNCTION("""COMPUTED_VALUE"""),"")</f>
        <v/>
      </c>
      <c r="J502" s="26"/>
    </row>
    <row r="503" spans="7:10" ht="13.2" x14ac:dyDescent="0.25">
      <c r="G503" s="4" t="str">
        <f ca="1">IFERROR(__xludf.DUMMYFUNCTION("""COMPUTED_VALUE"""),"")</f>
        <v/>
      </c>
      <c r="J503" s="26"/>
    </row>
    <row r="504" spans="7:10" ht="13.2" x14ac:dyDescent="0.25">
      <c r="G504" s="4" t="str">
        <f ca="1">IFERROR(__xludf.DUMMYFUNCTION("""COMPUTED_VALUE"""),"")</f>
        <v/>
      </c>
      <c r="J504" s="26"/>
    </row>
    <row r="505" spans="7:10" ht="13.2" x14ac:dyDescent="0.25">
      <c r="G505" s="4" t="str">
        <f ca="1">IFERROR(__xludf.DUMMYFUNCTION("""COMPUTED_VALUE"""),"")</f>
        <v/>
      </c>
      <c r="J505" s="26"/>
    </row>
    <row r="506" spans="7:10" ht="13.2" x14ac:dyDescent="0.25">
      <c r="G506" s="4" t="str">
        <f ca="1">IFERROR(__xludf.DUMMYFUNCTION("""COMPUTED_VALUE"""),"")</f>
        <v/>
      </c>
      <c r="J506" s="26"/>
    </row>
    <row r="507" spans="7:10" ht="13.2" x14ac:dyDescent="0.25">
      <c r="G507" s="4" t="str">
        <f ca="1">IFERROR(__xludf.DUMMYFUNCTION("""COMPUTED_VALUE"""),"")</f>
        <v/>
      </c>
      <c r="J507" s="26"/>
    </row>
    <row r="508" spans="7:10" ht="13.2" x14ac:dyDescent="0.25">
      <c r="G508" s="4" t="str">
        <f ca="1">IFERROR(__xludf.DUMMYFUNCTION("""COMPUTED_VALUE"""),"")</f>
        <v/>
      </c>
      <c r="J508" s="26"/>
    </row>
    <row r="509" spans="7:10" ht="13.2" x14ac:dyDescent="0.25">
      <c r="G509" s="4" t="str">
        <f ca="1">IFERROR(__xludf.DUMMYFUNCTION("""COMPUTED_VALUE"""),"")</f>
        <v/>
      </c>
      <c r="J509" s="26"/>
    </row>
    <row r="510" spans="7:10" ht="13.2" x14ac:dyDescent="0.25">
      <c r="G510" s="4" t="str">
        <f ca="1">IFERROR(__xludf.DUMMYFUNCTION("""COMPUTED_VALUE"""),"")</f>
        <v/>
      </c>
      <c r="J510" s="26"/>
    </row>
    <row r="511" spans="7:10" ht="13.2" x14ac:dyDescent="0.25">
      <c r="G511" s="4" t="str">
        <f ca="1">IFERROR(__xludf.DUMMYFUNCTION("""COMPUTED_VALUE"""),"")</f>
        <v/>
      </c>
      <c r="J511" s="26"/>
    </row>
    <row r="512" spans="7:10" ht="13.2" x14ac:dyDescent="0.25">
      <c r="G512" s="4" t="str">
        <f ca="1">IFERROR(__xludf.DUMMYFUNCTION("""COMPUTED_VALUE"""),"")</f>
        <v/>
      </c>
      <c r="J512" s="26"/>
    </row>
    <row r="513" spans="7:10" ht="13.2" x14ac:dyDescent="0.25">
      <c r="G513" s="4" t="str">
        <f ca="1">IFERROR(__xludf.DUMMYFUNCTION("""COMPUTED_VALUE"""),"")</f>
        <v/>
      </c>
      <c r="J513" s="26"/>
    </row>
    <row r="514" spans="7:10" ht="13.2" x14ac:dyDescent="0.25">
      <c r="G514" s="4" t="str">
        <f ca="1">IFERROR(__xludf.DUMMYFUNCTION("""COMPUTED_VALUE"""),"")</f>
        <v/>
      </c>
      <c r="J514" s="26"/>
    </row>
    <row r="515" spans="7:10" ht="13.2" x14ac:dyDescent="0.25">
      <c r="G515" s="4" t="str">
        <f ca="1">IFERROR(__xludf.DUMMYFUNCTION("""COMPUTED_VALUE"""),"")</f>
        <v/>
      </c>
      <c r="J515" s="26"/>
    </row>
    <row r="516" spans="7:10" ht="13.2" x14ac:dyDescent="0.25">
      <c r="G516" s="4" t="str">
        <f ca="1">IFERROR(__xludf.DUMMYFUNCTION("""COMPUTED_VALUE"""),"")</f>
        <v/>
      </c>
      <c r="J516" s="26"/>
    </row>
    <row r="517" spans="7:10" ht="13.2" x14ac:dyDescent="0.25">
      <c r="G517" s="4" t="str">
        <f ca="1">IFERROR(__xludf.DUMMYFUNCTION("""COMPUTED_VALUE"""),"")</f>
        <v/>
      </c>
      <c r="J517" s="26"/>
    </row>
    <row r="518" spans="7:10" ht="13.2" x14ac:dyDescent="0.25">
      <c r="G518" s="4" t="str">
        <f ca="1">IFERROR(__xludf.DUMMYFUNCTION("""COMPUTED_VALUE"""),"")</f>
        <v/>
      </c>
      <c r="J518" s="26"/>
    </row>
    <row r="519" spans="7:10" ht="13.2" x14ac:dyDescent="0.25">
      <c r="G519" s="4" t="str">
        <f ca="1">IFERROR(__xludf.DUMMYFUNCTION("""COMPUTED_VALUE"""),"")</f>
        <v/>
      </c>
      <c r="J519" s="26"/>
    </row>
    <row r="520" spans="7:10" ht="13.2" x14ac:dyDescent="0.25">
      <c r="G520" s="4" t="str">
        <f ca="1">IFERROR(__xludf.DUMMYFUNCTION("""COMPUTED_VALUE"""),"")</f>
        <v/>
      </c>
      <c r="J520" s="26"/>
    </row>
    <row r="521" spans="7:10" ht="13.2" x14ac:dyDescent="0.25">
      <c r="G521" s="4" t="str">
        <f ca="1">IFERROR(__xludf.DUMMYFUNCTION("""COMPUTED_VALUE"""),"")</f>
        <v/>
      </c>
      <c r="J521" s="26"/>
    </row>
    <row r="522" spans="7:10" ht="13.2" x14ac:dyDescent="0.25">
      <c r="G522" s="4" t="str">
        <f ca="1">IFERROR(__xludf.DUMMYFUNCTION("""COMPUTED_VALUE"""),"")</f>
        <v/>
      </c>
      <c r="J522" s="26"/>
    </row>
    <row r="523" spans="7:10" ht="13.2" x14ac:dyDescent="0.25">
      <c r="G523" s="4" t="str">
        <f ca="1">IFERROR(__xludf.DUMMYFUNCTION("""COMPUTED_VALUE"""),"")</f>
        <v/>
      </c>
      <c r="J523" s="26"/>
    </row>
    <row r="524" spans="7:10" ht="13.2" x14ac:dyDescent="0.25">
      <c r="G524" s="4" t="str">
        <f ca="1">IFERROR(__xludf.DUMMYFUNCTION("""COMPUTED_VALUE"""),"")</f>
        <v/>
      </c>
      <c r="J524" s="26"/>
    </row>
    <row r="525" spans="7:10" ht="13.2" x14ac:dyDescent="0.25">
      <c r="G525" s="4" t="str">
        <f ca="1">IFERROR(__xludf.DUMMYFUNCTION("""COMPUTED_VALUE"""),"")</f>
        <v/>
      </c>
      <c r="J525" s="26"/>
    </row>
    <row r="526" spans="7:10" ht="13.2" x14ac:dyDescent="0.25">
      <c r="G526" s="4" t="str">
        <f ca="1">IFERROR(__xludf.DUMMYFUNCTION("""COMPUTED_VALUE"""),"")</f>
        <v/>
      </c>
      <c r="J526" s="26"/>
    </row>
    <row r="527" spans="7:10" ht="13.2" x14ac:dyDescent="0.25">
      <c r="G527" s="4" t="str">
        <f ca="1">IFERROR(__xludf.DUMMYFUNCTION("""COMPUTED_VALUE"""),"")</f>
        <v/>
      </c>
      <c r="J527" s="26"/>
    </row>
    <row r="528" spans="7:10" ht="13.2" x14ac:dyDescent="0.25">
      <c r="G528" s="4" t="str">
        <f ca="1">IFERROR(__xludf.DUMMYFUNCTION("""COMPUTED_VALUE"""),"")</f>
        <v/>
      </c>
      <c r="J528" s="26"/>
    </row>
    <row r="529" spans="7:10" ht="13.2" x14ac:dyDescent="0.25">
      <c r="G529" s="4" t="str">
        <f ca="1">IFERROR(__xludf.DUMMYFUNCTION("""COMPUTED_VALUE"""),"")</f>
        <v/>
      </c>
      <c r="J529" s="26"/>
    </row>
    <row r="530" spans="7:10" ht="13.2" x14ac:dyDescent="0.25">
      <c r="G530" s="4" t="str">
        <f ca="1">IFERROR(__xludf.DUMMYFUNCTION("""COMPUTED_VALUE"""),"")</f>
        <v/>
      </c>
      <c r="J530" s="26"/>
    </row>
    <row r="531" spans="7:10" ht="13.2" x14ac:dyDescent="0.25">
      <c r="G531" s="4" t="str">
        <f ca="1">IFERROR(__xludf.DUMMYFUNCTION("""COMPUTED_VALUE"""),"")</f>
        <v/>
      </c>
      <c r="J531" s="26"/>
    </row>
    <row r="532" spans="7:10" ht="13.2" x14ac:dyDescent="0.25">
      <c r="G532" s="4" t="str">
        <f ca="1">IFERROR(__xludf.DUMMYFUNCTION("""COMPUTED_VALUE"""),"")</f>
        <v/>
      </c>
      <c r="J532" s="26"/>
    </row>
    <row r="533" spans="7:10" ht="13.2" x14ac:dyDescent="0.25">
      <c r="G533" s="4" t="str">
        <f ca="1">IFERROR(__xludf.DUMMYFUNCTION("""COMPUTED_VALUE"""),"")</f>
        <v/>
      </c>
      <c r="J533" s="26"/>
    </row>
    <row r="534" spans="7:10" ht="13.2" x14ac:dyDescent="0.25">
      <c r="G534" s="4" t="str">
        <f ca="1">IFERROR(__xludf.DUMMYFUNCTION("""COMPUTED_VALUE"""),"")</f>
        <v/>
      </c>
      <c r="J534" s="26"/>
    </row>
    <row r="535" spans="7:10" ht="13.2" x14ac:dyDescent="0.25">
      <c r="G535" s="4" t="str">
        <f ca="1">IFERROR(__xludf.DUMMYFUNCTION("""COMPUTED_VALUE"""),"")</f>
        <v/>
      </c>
      <c r="J535" s="26"/>
    </row>
    <row r="536" spans="7:10" ht="13.2" x14ac:dyDescent="0.25">
      <c r="G536" s="4" t="str">
        <f ca="1">IFERROR(__xludf.DUMMYFUNCTION("""COMPUTED_VALUE"""),"")</f>
        <v/>
      </c>
      <c r="J536" s="26"/>
    </row>
    <row r="537" spans="7:10" ht="13.2" x14ac:dyDescent="0.25">
      <c r="G537" s="4" t="str">
        <f ca="1">IFERROR(__xludf.DUMMYFUNCTION("""COMPUTED_VALUE"""),"")</f>
        <v/>
      </c>
      <c r="J537" s="26"/>
    </row>
    <row r="538" spans="7:10" ht="13.2" x14ac:dyDescent="0.25">
      <c r="G538" s="4" t="str">
        <f ca="1">IFERROR(__xludf.DUMMYFUNCTION("""COMPUTED_VALUE"""),"")</f>
        <v/>
      </c>
      <c r="J538" s="26"/>
    </row>
    <row r="539" spans="7:10" ht="13.2" x14ac:dyDescent="0.25">
      <c r="G539" s="4" t="str">
        <f ca="1">IFERROR(__xludf.DUMMYFUNCTION("""COMPUTED_VALUE"""),"")</f>
        <v/>
      </c>
      <c r="J539" s="26"/>
    </row>
    <row r="540" spans="7:10" ht="13.2" x14ac:dyDescent="0.25">
      <c r="G540" s="4" t="str">
        <f ca="1">IFERROR(__xludf.DUMMYFUNCTION("""COMPUTED_VALUE"""),"")</f>
        <v/>
      </c>
      <c r="J540" s="26"/>
    </row>
    <row r="541" spans="7:10" ht="13.2" x14ac:dyDescent="0.25">
      <c r="G541" s="4" t="str">
        <f ca="1">IFERROR(__xludf.DUMMYFUNCTION("""COMPUTED_VALUE"""),"")</f>
        <v/>
      </c>
      <c r="J541" s="26"/>
    </row>
    <row r="542" spans="7:10" ht="13.2" x14ac:dyDescent="0.25">
      <c r="G542" s="4" t="str">
        <f ca="1">IFERROR(__xludf.DUMMYFUNCTION("""COMPUTED_VALUE"""),"")</f>
        <v/>
      </c>
      <c r="J542" s="26"/>
    </row>
    <row r="543" spans="7:10" ht="13.2" x14ac:dyDescent="0.25">
      <c r="G543" s="4" t="str">
        <f ca="1">IFERROR(__xludf.DUMMYFUNCTION("""COMPUTED_VALUE"""),"")</f>
        <v/>
      </c>
      <c r="J543" s="26"/>
    </row>
    <row r="544" spans="7:10" ht="13.2" x14ac:dyDescent="0.25">
      <c r="G544" s="4" t="str">
        <f ca="1">IFERROR(__xludf.DUMMYFUNCTION("""COMPUTED_VALUE"""),"")</f>
        <v/>
      </c>
      <c r="J544" s="26"/>
    </row>
    <row r="545" spans="7:10" ht="13.2" x14ac:dyDescent="0.25">
      <c r="G545" s="4" t="str">
        <f ca="1">IFERROR(__xludf.DUMMYFUNCTION("""COMPUTED_VALUE"""),"")</f>
        <v/>
      </c>
      <c r="J545" s="26"/>
    </row>
    <row r="546" spans="7:10" ht="13.2" x14ac:dyDescent="0.25">
      <c r="G546" s="4" t="str">
        <f ca="1">IFERROR(__xludf.DUMMYFUNCTION("""COMPUTED_VALUE"""),"")</f>
        <v/>
      </c>
      <c r="J546" s="26"/>
    </row>
    <row r="547" spans="7:10" ht="13.2" x14ac:dyDescent="0.25">
      <c r="G547" s="4" t="str">
        <f ca="1">IFERROR(__xludf.DUMMYFUNCTION("""COMPUTED_VALUE"""),"")</f>
        <v/>
      </c>
      <c r="J547" s="26"/>
    </row>
    <row r="548" spans="7:10" ht="13.2" x14ac:dyDescent="0.25">
      <c r="G548" s="4" t="str">
        <f ca="1">IFERROR(__xludf.DUMMYFUNCTION("""COMPUTED_VALUE"""),"")</f>
        <v/>
      </c>
      <c r="J548" s="26"/>
    </row>
    <row r="549" spans="7:10" ht="13.2" x14ac:dyDescent="0.25">
      <c r="G549" s="4" t="str">
        <f ca="1">IFERROR(__xludf.DUMMYFUNCTION("""COMPUTED_VALUE"""),"")</f>
        <v/>
      </c>
      <c r="J549" s="26"/>
    </row>
    <row r="550" spans="7:10" ht="13.2" x14ac:dyDescent="0.25">
      <c r="G550" s="4" t="str">
        <f ca="1">IFERROR(__xludf.DUMMYFUNCTION("""COMPUTED_VALUE"""),"")</f>
        <v/>
      </c>
      <c r="J550" s="26"/>
    </row>
    <row r="551" spans="7:10" ht="13.2" x14ac:dyDescent="0.25">
      <c r="G551" s="4" t="str">
        <f ca="1">IFERROR(__xludf.DUMMYFUNCTION("""COMPUTED_VALUE"""),"")</f>
        <v/>
      </c>
      <c r="J551" s="26"/>
    </row>
    <row r="552" spans="7:10" ht="13.2" x14ac:dyDescent="0.25">
      <c r="G552" s="4" t="str">
        <f ca="1">IFERROR(__xludf.DUMMYFUNCTION("""COMPUTED_VALUE"""),"")</f>
        <v/>
      </c>
      <c r="J552" s="26"/>
    </row>
    <row r="553" spans="7:10" ht="13.2" x14ac:dyDescent="0.25">
      <c r="G553" s="4" t="str">
        <f ca="1">IFERROR(__xludf.DUMMYFUNCTION("""COMPUTED_VALUE"""),"")</f>
        <v/>
      </c>
      <c r="J553" s="26"/>
    </row>
    <row r="554" spans="7:10" ht="13.2" x14ac:dyDescent="0.25">
      <c r="G554" s="4" t="str">
        <f ca="1">IFERROR(__xludf.DUMMYFUNCTION("""COMPUTED_VALUE"""),"")</f>
        <v/>
      </c>
      <c r="J554" s="26"/>
    </row>
    <row r="555" spans="7:10" ht="13.2" x14ac:dyDescent="0.25">
      <c r="G555" s="4" t="str">
        <f ca="1">IFERROR(__xludf.DUMMYFUNCTION("""COMPUTED_VALUE"""),"")</f>
        <v/>
      </c>
      <c r="J555" s="26"/>
    </row>
    <row r="556" spans="7:10" ht="13.2" x14ac:dyDescent="0.25">
      <c r="G556" s="4" t="str">
        <f ca="1">IFERROR(__xludf.DUMMYFUNCTION("""COMPUTED_VALUE"""),"")</f>
        <v/>
      </c>
      <c r="J556" s="26"/>
    </row>
    <row r="557" spans="7:10" ht="13.2" x14ac:dyDescent="0.25">
      <c r="G557" s="4" t="str">
        <f ca="1">IFERROR(__xludf.DUMMYFUNCTION("""COMPUTED_VALUE"""),"")</f>
        <v/>
      </c>
      <c r="J557" s="26"/>
    </row>
    <row r="558" spans="7:10" ht="13.2" x14ac:dyDescent="0.25">
      <c r="G558" s="4" t="str">
        <f ca="1">IFERROR(__xludf.DUMMYFUNCTION("""COMPUTED_VALUE"""),"")</f>
        <v/>
      </c>
      <c r="J558" s="26"/>
    </row>
    <row r="559" spans="7:10" ht="13.2" x14ac:dyDescent="0.25">
      <c r="G559" s="4" t="str">
        <f ca="1">IFERROR(__xludf.DUMMYFUNCTION("""COMPUTED_VALUE"""),"")</f>
        <v/>
      </c>
      <c r="J559" s="26"/>
    </row>
    <row r="560" spans="7:10" ht="13.2" x14ac:dyDescent="0.25">
      <c r="G560" s="4" t="str">
        <f ca="1">IFERROR(__xludf.DUMMYFUNCTION("""COMPUTED_VALUE"""),"")</f>
        <v/>
      </c>
      <c r="J560" s="26"/>
    </row>
    <row r="561" spans="7:10" ht="13.2" x14ac:dyDescent="0.25">
      <c r="G561" s="4" t="str">
        <f ca="1">IFERROR(__xludf.DUMMYFUNCTION("""COMPUTED_VALUE"""),"")</f>
        <v/>
      </c>
      <c r="J561" s="26"/>
    </row>
    <row r="562" spans="7:10" ht="13.2" x14ac:dyDescent="0.25">
      <c r="G562" s="4" t="str">
        <f ca="1">IFERROR(__xludf.DUMMYFUNCTION("""COMPUTED_VALUE"""),"")</f>
        <v/>
      </c>
      <c r="J562" s="26"/>
    </row>
    <row r="563" spans="7:10" ht="13.2" x14ac:dyDescent="0.25">
      <c r="G563" s="4" t="str">
        <f ca="1">IFERROR(__xludf.DUMMYFUNCTION("""COMPUTED_VALUE"""),"")</f>
        <v/>
      </c>
      <c r="J563" s="26"/>
    </row>
    <row r="564" spans="7:10" ht="13.2" x14ac:dyDescent="0.25">
      <c r="G564" s="4" t="str">
        <f ca="1">IFERROR(__xludf.DUMMYFUNCTION("""COMPUTED_VALUE"""),"")</f>
        <v/>
      </c>
      <c r="J564" s="26"/>
    </row>
    <row r="565" spans="7:10" ht="13.2" x14ac:dyDescent="0.25">
      <c r="G565" s="4" t="str">
        <f ca="1">IFERROR(__xludf.DUMMYFUNCTION("""COMPUTED_VALUE"""),"")</f>
        <v/>
      </c>
      <c r="J565" s="26"/>
    </row>
    <row r="566" spans="7:10" ht="13.2" x14ac:dyDescent="0.25">
      <c r="G566" s="4" t="str">
        <f ca="1">IFERROR(__xludf.DUMMYFUNCTION("""COMPUTED_VALUE"""),"")</f>
        <v/>
      </c>
      <c r="J566" s="26"/>
    </row>
    <row r="567" spans="7:10" ht="13.2" x14ac:dyDescent="0.25">
      <c r="G567" s="4" t="str">
        <f ca="1">IFERROR(__xludf.DUMMYFUNCTION("""COMPUTED_VALUE"""),"")</f>
        <v/>
      </c>
      <c r="J567" s="26"/>
    </row>
    <row r="568" spans="7:10" ht="13.2" x14ac:dyDescent="0.25">
      <c r="G568" s="4" t="str">
        <f ca="1">IFERROR(__xludf.DUMMYFUNCTION("""COMPUTED_VALUE"""),"")</f>
        <v/>
      </c>
      <c r="J568" s="26"/>
    </row>
    <row r="569" spans="7:10" ht="13.2" x14ac:dyDescent="0.25">
      <c r="G569" s="4" t="str">
        <f ca="1">IFERROR(__xludf.DUMMYFUNCTION("""COMPUTED_VALUE"""),"")</f>
        <v/>
      </c>
      <c r="J569" s="26"/>
    </row>
    <row r="570" spans="7:10" ht="13.2" x14ac:dyDescent="0.25">
      <c r="G570" s="4" t="str">
        <f ca="1">IFERROR(__xludf.DUMMYFUNCTION("""COMPUTED_VALUE"""),"")</f>
        <v/>
      </c>
      <c r="J570" s="26"/>
    </row>
    <row r="571" spans="7:10" ht="13.2" x14ac:dyDescent="0.25">
      <c r="G571" s="4" t="str">
        <f ca="1">IFERROR(__xludf.DUMMYFUNCTION("""COMPUTED_VALUE"""),"")</f>
        <v/>
      </c>
      <c r="J571" s="26"/>
    </row>
    <row r="572" spans="7:10" ht="13.2" x14ac:dyDescent="0.25">
      <c r="G572" s="4" t="str">
        <f ca="1">IFERROR(__xludf.DUMMYFUNCTION("""COMPUTED_VALUE"""),"")</f>
        <v/>
      </c>
      <c r="J572" s="26"/>
    </row>
    <row r="573" spans="7:10" ht="13.2" x14ac:dyDescent="0.25">
      <c r="G573" s="4" t="str">
        <f ca="1">IFERROR(__xludf.DUMMYFUNCTION("""COMPUTED_VALUE"""),"")</f>
        <v/>
      </c>
      <c r="J573" s="26"/>
    </row>
    <row r="574" spans="7:10" ht="13.2" x14ac:dyDescent="0.25">
      <c r="G574" s="4" t="str">
        <f ca="1">IFERROR(__xludf.DUMMYFUNCTION("""COMPUTED_VALUE"""),"")</f>
        <v/>
      </c>
      <c r="J574" s="26"/>
    </row>
    <row r="575" spans="7:10" ht="13.2" x14ac:dyDescent="0.25">
      <c r="G575" s="4" t="str">
        <f ca="1">IFERROR(__xludf.DUMMYFUNCTION("""COMPUTED_VALUE"""),"")</f>
        <v/>
      </c>
      <c r="J575" s="26"/>
    </row>
    <row r="576" spans="7:10" ht="13.2" x14ac:dyDescent="0.25">
      <c r="G576" s="4" t="str">
        <f ca="1">IFERROR(__xludf.DUMMYFUNCTION("""COMPUTED_VALUE"""),"")</f>
        <v/>
      </c>
      <c r="J576" s="26"/>
    </row>
    <row r="577" spans="7:10" ht="13.2" x14ac:dyDescent="0.25">
      <c r="G577" s="4" t="str">
        <f ca="1">IFERROR(__xludf.DUMMYFUNCTION("""COMPUTED_VALUE"""),"")</f>
        <v/>
      </c>
      <c r="J577" s="26"/>
    </row>
    <row r="578" spans="7:10" ht="13.2" x14ac:dyDescent="0.25">
      <c r="G578" s="4" t="str">
        <f ca="1">IFERROR(__xludf.DUMMYFUNCTION("""COMPUTED_VALUE"""),"")</f>
        <v/>
      </c>
      <c r="J578" s="26"/>
    </row>
    <row r="579" spans="7:10" ht="13.2" x14ac:dyDescent="0.25">
      <c r="G579" s="4" t="str">
        <f ca="1">IFERROR(__xludf.DUMMYFUNCTION("""COMPUTED_VALUE"""),"")</f>
        <v/>
      </c>
      <c r="J579" s="26"/>
    </row>
    <row r="580" spans="7:10" ht="13.2" x14ac:dyDescent="0.25">
      <c r="G580" s="4" t="str">
        <f ca="1">IFERROR(__xludf.DUMMYFUNCTION("""COMPUTED_VALUE"""),"")</f>
        <v/>
      </c>
      <c r="J580" s="26"/>
    </row>
    <row r="581" spans="7:10" ht="13.2" x14ac:dyDescent="0.25">
      <c r="G581" s="4" t="str">
        <f ca="1">IFERROR(__xludf.DUMMYFUNCTION("""COMPUTED_VALUE"""),"")</f>
        <v/>
      </c>
      <c r="J581" s="26"/>
    </row>
    <row r="582" spans="7:10" ht="13.2" x14ac:dyDescent="0.25">
      <c r="G582" s="4" t="str">
        <f ca="1">IFERROR(__xludf.DUMMYFUNCTION("""COMPUTED_VALUE"""),"")</f>
        <v/>
      </c>
      <c r="J582" s="26"/>
    </row>
    <row r="583" spans="7:10" ht="13.2" x14ac:dyDescent="0.25">
      <c r="G583" s="4" t="str">
        <f ca="1">IFERROR(__xludf.DUMMYFUNCTION("""COMPUTED_VALUE"""),"")</f>
        <v/>
      </c>
      <c r="J583" s="26"/>
    </row>
    <row r="584" spans="7:10" ht="13.2" x14ac:dyDescent="0.25">
      <c r="G584" s="4" t="str">
        <f ca="1">IFERROR(__xludf.DUMMYFUNCTION("""COMPUTED_VALUE"""),"")</f>
        <v/>
      </c>
      <c r="J584" s="26"/>
    </row>
    <row r="585" spans="7:10" ht="13.2" x14ac:dyDescent="0.25">
      <c r="G585" s="4" t="str">
        <f ca="1">IFERROR(__xludf.DUMMYFUNCTION("""COMPUTED_VALUE"""),"")</f>
        <v/>
      </c>
      <c r="J585" s="26"/>
    </row>
    <row r="586" spans="7:10" ht="13.2" x14ac:dyDescent="0.25">
      <c r="G586" s="4" t="str">
        <f ca="1">IFERROR(__xludf.DUMMYFUNCTION("""COMPUTED_VALUE"""),"")</f>
        <v/>
      </c>
      <c r="J586" s="26"/>
    </row>
    <row r="587" spans="7:10" ht="13.2" x14ac:dyDescent="0.25">
      <c r="G587" s="4" t="str">
        <f ca="1">IFERROR(__xludf.DUMMYFUNCTION("""COMPUTED_VALUE"""),"")</f>
        <v/>
      </c>
      <c r="J587" s="26"/>
    </row>
    <row r="588" spans="7:10" ht="13.2" x14ac:dyDescent="0.25">
      <c r="G588" s="4" t="str">
        <f ca="1">IFERROR(__xludf.DUMMYFUNCTION("""COMPUTED_VALUE"""),"")</f>
        <v/>
      </c>
      <c r="J588" s="26"/>
    </row>
    <row r="589" spans="7:10" ht="13.2" x14ac:dyDescent="0.25">
      <c r="G589" s="4" t="str">
        <f ca="1">IFERROR(__xludf.DUMMYFUNCTION("""COMPUTED_VALUE"""),"")</f>
        <v/>
      </c>
      <c r="J589" s="26"/>
    </row>
    <row r="590" spans="7:10" ht="13.2" x14ac:dyDescent="0.25">
      <c r="G590" s="4" t="str">
        <f ca="1">IFERROR(__xludf.DUMMYFUNCTION("""COMPUTED_VALUE"""),"")</f>
        <v/>
      </c>
      <c r="J590" s="26"/>
    </row>
    <row r="591" spans="7:10" ht="13.2" x14ac:dyDescent="0.25">
      <c r="G591" s="4" t="str">
        <f ca="1">IFERROR(__xludf.DUMMYFUNCTION("""COMPUTED_VALUE"""),"")</f>
        <v/>
      </c>
      <c r="J591" s="26"/>
    </row>
    <row r="592" spans="7:10" ht="13.2" x14ac:dyDescent="0.25">
      <c r="G592" s="4" t="str">
        <f ca="1">IFERROR(__xludf.DUMMYFUNCTION("""COMPUTED_VALUE"""),"")</f>
        <v/>
      </c>
      <c r="J592" s="26"/>
    </row>
    <row r="593" spans="7:10" ht="13.2" x14ac:dyDescent="0.25">
      <c r="G593" s="4" t="str">
        <f ca="1">IFERROR(__xludf.DUMMYFUNCTION("""COMPUTED_VALUE"""),"")</f>
        <v/>
      </c>
      <c r="J593" s="26"/>
    </row>
    <row r="594" spans="7:10" ht="13.2" x14ac:dyDescent="0.25">
      <c r="G594" s="4" t="str">
        <f ca="1">IFERROR(__xludf.DUMMYFUNCTION("""COMPUTED_VALUE"""),"")</f>
        <v/>
      </c>
      <c r="J594" s="26"/>
    </row>
    <row r="595" spans="7:10" ht="13.2" x14ac:dyDescent="0.25">
      <c r="G595" s="4" t="str">
        <f ca="1">IFERROR(__xludf.DUMMYFUNCTION("""COMPUTED_VALUE"""),"")</f>
        <v/>
      </c>
      <c r="J595" s="26"/>
    </row>
    <row r="596" spans="7:10" ht="13.2" x14ac:dyDescent="0.25">
      <c r="G596" s="4" t="str">
        <f ca="1">IFERROR(__xludf.DUMMYFUNCTION("""COMPUTED_VALUE"""),"")</f>
        <v/>
      </c>
      <c r="J596" s="26"/>
    </row>
    <row r="597" spans="7:10" ht="13.2" x14ac:dyDescent="0.25">
      <c r="G597" s="4" t="str">
        <f ca="1">IFERROR(__xludf.DUMMYFUNCTION("""COMPUTED_VALUE"""),"")</f>
        <v/>
      </c>
      <c r="J597" s="26"/>
    </row>
    <row r="598" spans="7:10" ht="13.2" x14ac:dyDescent="0.25">
      <c r="G598" s="4" t="str">
        <f ca="1">IFERROR(__xludf.DUMMYFUNCTION("""COMPUTED_VALUE"""),"")</f>
        <v/>
      </c>
      <c r="J598" s="26"/>
    </row>
    <row r="599" spans="7:10" ht="13.2" x14ac:dyDescent="0.25">
      <c r="G599" s="4" t="str">
        <f ca="1">IFERROR(__xludf.DUMMYFUNCTION("""COMPUTED_VALUE"""),"")</f>
        <v/>
      </c>
      <c r="J599" s="26"/>
    </row>
    <row r="600" spans="7:10" ht="13.2" x14ac:dyDescent="0.25">
      <c r="G600" s="4" t="str">
        <f ca="1">IFERROR(__xludf.DUMMYFUNCTION("""COMPUTED_VALUE"""),"")</f>
        <v/>
      </c>
      <c r="J600" s="26"/>
    </row>
    <row r="601" spans="7:10" ht="13.2" x14ac:dyDescent="0.25">
      <c r="G601" s="4" t="str">
        <f ca="1">IFERROR(__xludf.DUMMYFUNCTION("""COMPUTED_VALUE"""),"")</f>
        <v/>
      </c>
      <c r="J601" s="26"/>
    </row>
    <row r="602" spans="7:10" ht="13.2" x14ac:dyDescent="0.25">
      <c r="G602" s="4" t="str">
        <f ca="1">IFERROR(__xludf.DUMMYFUNCTION("""COMPUTED_VALUE"""),"")</f>
        <v/>
      </c>
      <c r="J602" s="26"/>
    </row>
    <row r="603" spans="7:10" ht="13.2" x14ac:dyDescent="0.25">
      <c r="G603" s="4" t="str">
        <f ca="1">IFERROR(__xludf.DUMMYFUNCTION("""COMPUTED_VALUE"""),"")</f>
        <v/>
      </c>
      <c r="J603" s="26"/>
    </row>
    <row r="604" spans="7:10" ht="13.2" x14ac:dyDescent="0.25">
      <c r="G604" s="4" t="str">
        <f ca="1">IFERROR(__xludf.DUMMYFUNCTION("""COMPUTED_VALUE"""),"")</f>
        <v/>
      </c>
      <c r="J604" s="26"/>
    </row>
    <row r="605" spans="7:10" ht="13.2" x14ac:dyDescent="0.25">
      <c r="G605" s="4" t="str">
        <f ca="1">IFERROR(__xludf.DUMMYFUNCTION("""COMPUTED_VALUE"""),"")</f>
        <v/>
      </c>
      <c r="J605" s="26"/>
    </row>
    <row r="606" spans="7:10" ht="13.2" x14ac:dyDescent="0.25">
      <c r="G606" s="4" t="str">
        <f ca="1">IFERROR(__xludf.DUMMYFUNCTION("""COMPUTED_VALUE"""),"")</f>
        <v/>
      </c>
      <c r="J606" s="26"/>
    </row>
    <row r="607" spans="7:10" ht="13.2" x14ac:dyDescent="0.25">
      <c r="G607" s="4" t="str">
        <f ca="1">IFERROR(__xludf.DUMMYFUNCTION("""COMPUTED_VALUE"""),"")</f>
        <v/>
      </c>
      <c r="J607" s="26"/>
    </row>
    <row r="608" spans="7:10" ht="13.2" x14ac:dyDescent="0.25">
      <c r="G608" s="4" t="str">
        <f ca="1">IFERROR(__xludf.DUMMYFUNCTION("""COMPUTED_VALUE"""),"")</f>
        <v/>
      </c>
      <c r="J608" s="26"/>
    </row>
    <row r="609" spans="7:10" ht="13.2" x14ac:dyDescent="0.25">
      <c r="G609" s="4" t="str">
        <f ca="1">IFERROR(__xludf.DUMMYFUNCTION("""COMPUTED_VALUE"""),"")</f>
        <v/>
      </c>
      <c r="J609" s="26"/>
    </row>
    <row r="610" spans="7:10" ht="13.2" x14ac:dyDescent="0.25">
      <c r="G610" s="4" t="str">
        <f ca="1">IFERROR(__xludf.DUMMYFUNCTION("""COMPUTED_VALUE"""),"")</f>
        <v/>
      </c>
      <c r="J610" s="26"/>
    </row>
    <row r="611" spans="7:10" ht="13.2" x14ac:dyDescent="0.25">
      <c r="G611" s="4" t="str">
        <f ca="1">IFERROR(__xludf.DUMMYFUNCTION("""COMPUTED_VALUE"""),"")</f>
        <v/>
      </c>
      <c r="J611" s="26"/>
    </row>
    <row r="612" spans="7:10" ht="13.2" x14ac:dyDescent="0.25">
      <c r="G612" s="4" t="str">
        <f ca="1">IFERROR(__xludf.DUMMYFUNCTION("""COMPUTED_VALUE"""),"")</f>
        <v/>
      </c>
      <c r="J612" s="26"/>
    </row>
    <row r="613" spans="7:10" ht="13.2" x14ac:dyDescent="0.25">
      <c r="G613" s="4" t="str">
        <f ca="1">IFERROR(__xludf.DUMMYFUNCTION("""COMPUTED_VALUE"""),"")</f>
        <v/>
      </c>
      <c r="J613" s="26"/>
    </row>
    <row r="614" spans="7:10" ht="13.2" x14ac:dyDescent="0.25">
      <c r="G614" s="4" t="str">
        <f ca="1">IFERROR(__xludf.DUMMYFUNCTION("""COMPUTED_VALUE"""),"")</f>
        <v/>
      </c>
      <c r="J614" s="26"/>
    </row>
    <row r="615" spans="7:10" ht="13.2" x14ac:dyDescent="0.25">
      <c r="G615" s="4" t="str">
        <f ca="1">IFERROR(__xludf.DUMMYFUNCTION("""COMPUTED_VALUE"""),"")</f>
        <v/>
      </c>
      <c r="J615" s="26"/>
    </row>
    <row r="616" spans="7:10" ht="13.2" x14ac:dyDescent="0.25">
      <c r="G616" s="4" t="str">
        <f ca="1">IFERROR(__xludf.DUMMYFUNCTION("""COMPUTED_VALUE"""),"")</f>
        <v/>
      </c>
      <c r="J616" s="26"/>
    </row>
    <row r="617" spans="7:10" ht="13.2" x14ac:dyDescent="0.25">
      <c r="G617" s="4" t="str">
        <f ca="1">IFERROR(__xludf.DUMMYFUNCTION("""COMPUTED_VALUE"""),"")</f>
        <v/>
      </c>
      <c r="J617" s="26"/>
    </row>
    <row r="618" spans="7:10" ht="13.2" x14ac:dyDescent="0.25">
      <c r="G618" s="4" t="str">
        <f ca="1">IFERROR(__xludf.DUMMYFUNCTION("""COMPUTED_VALUE"""),"")</f>
        <v/>
      </c>
      <c r="J618" s="26"/>
    </row>
    <row r="619" spans="7:10" ht="13.2" x14ac:dyDescent="0.25">
      <c r="G619" s="4" t="str">
        <f ca="1">IFERROR(__xludf.DUMMYFUNCTION("""COMPUTED_VALUE"""),"")</f>
        <v/>
      </c>
      <c r="J619" s="26"/>
    </row>
    <row r="620" spans="7:10" ht="13.2" x14ac:dyDescent="0.25">
      <c r="G620" s="4" t="str">
        <f ca="1">IFERROR(__xludf.DUMMYFUNCTION("""COMPUTED_VALUE"""),"")</f>
        <v/>
      </c>
      <c r="J620" s="26"/>
    </row>
    <row r="621" spans="7:10" ht="13.2" x14ac:dyDescent="0.25">
      <c r="G621" s="4" t="str">
        <f ca="1">IFERROR(__xludf.DUMMYFUNCTION("""COMPUTED_VALUE"""),"")</f>
        <v/>
      </c>
      <c r="J621" s="26"/>
    </row>
    <row r="622" spans="7:10" ht="13.2" x14ac:dyDescent="0.25">
      <c r="G622" s="4" t="str">
        <f ca="1">IFERROR(__xludf.DUMMYFUNCTION("""COMPUTED_VALUE"""),"")</f>
        <v/>
      </c>
      <c r="J622" s="26"/>
    </row>
    <row r="623" spans="7:10" ht="13.2" x14ac:dyDescent="0.25">
      <c r="G623" s="4" t="str">
        <f ca="1">IFERROR(__xludf.DUMMYFUNCTION("""COMPUTED_VALUE"""),"")</f>
        <v/>
      </c>
      <c r="J623" s="26"/>
    </row>
    <row r="624" spans="7:10" ht="13.2" x14ac:dyDescent="0.25">
      <c r="G624" s="4" t="str">
        <f ca="1">IFERROR(__xludf.DUMMYFUNCTION("""COMPUTED_VALUE"""),"")</f>
        <v/>
      </c>
      <c r="J624" s="26"/>
    </row>
    <row r="625" spans="7:10" ht="13.2" x14ac:dyDescent="0.25">
      <c r="G625" s="4" t="str">
        <f ca="1">IFERROR(__xludf.DUMMYFUNCTION("""COMPUTED_VALUE"""),"")</f>
        <v/>
      </c>
      <c r="J625" s="26"/>
    </row>
    <row r="626" spans="7:10" ht="13.2" x14ac:dyDescent="0.25">
      <c r="G626" s="4" t="str">
        <f ca="1">IFERROR(__xludf.DUMMYFUNCTION("""COMPUTED_VALUE"""),"")</f>
        <v/>
      </c>
      <c r="J626" s="26"/>
    </row>
    <row r="627" spans="7:10" ht="13.2" x14ac:dyDescent="0.25">
      <c r="G627" s="4" t="str">
        <f ca="1">IFERROR(__xludf.DUMMYFUNCTION("""COMPUTED_VALUE"""),"")</f>
        <v/>
      </c>
      <c r="J627" s="26"/>
    </row>
    <row r="628" spans="7:10" ht="13.2" x14ac:dyDescent="0.25">
      <c r="G628" s="4" t="str">
        <f ca="1">IFERROR(__xludf.DUMMYFUNCTION("""COMPUTED_VALUE"""),"")</f>
        <v/>
      </c>
      <c r="J628" s="26"/>
    </row>
    <row r="629" spans="7:10" ht="13.2" x14ac:dyDescent="0.25">
      <c r="G629" s="4" t="str">
        <f ca="1">IFERROR(__xludf.DUMMYFUNCTION("""COMPUTED_VALUE"""),"")</f>
        <v/>
      </c>
      <c r="J629" s="26"/>
    </row>
    <row r="630" spans="7:10" ht="13.2" x14ac:dyDescent="0.25">
      <c r="G630" s="4" t="str">
        <f ca="1">IFERROR(__xludf.DUMMYFUNCTION("""COMPUTED_VALUE"""),"")</f>
        <v/>
      </c>
      <c r="J630" s="26"/>
    </row>
    <row r="631" spans="7:10" ht="13.2" x14ac:dyDescent="0.25">
      <c r="G631" s="4" t="str">
        <f ca="1">IFERROR(__xludf.DUMMYFUNCTION("""COMPUTED_VALUE"""),"")</f>
        <v/>
      </c>
      <c r="J631" s="26"/>
    </row>
    <row r="632" spans="7:10" ht="13.2" x14ac:dyDescent="0.25">
      <c r="G632" s="4" t="str">
        <f ca="1">IFERROR(__xludf.DUMMYFUNCTION("""COMPUTED_VALUE"""),"")</f>
        <v/>
      </c>
      <c r="J632" s="26"/>
    </row>
    <row r="633" spans="7:10" ht="13.2" x14ac:dyDescent="0.25">
      <c r="G633" s="4" t="str">
        <f ca="1">IFERROR(__xludf.DUMMYFUNCTION("""COMPUTED_VALUE"""),"")</f>
        <v/>
      </c>
      <c r="J633" s="26"/>
    </row>
    <row r="634" spans="7:10" ht="13.2" x14ac:dyDescent="0.25">
      <c r="G634" s="4" t="str">
        <f ca="1">IFERROR(__xludf.DUMMYFUNCTION("""COMPUTED_VALUE"""),"")</f>
        <v/>
      </c>
      <c r="J634" s="26"/>
    </row>
    <row r="635" spans="7:10" ht="13.2" x14ac:dyDescent="0.25">
      <c r="G635" s="4" t="str">
        <f ca="1">IFERROR(__xludf.DUMMYFUNCTION("""COMPUTED_VALUE"""),"")</f>
        <v/>
      </c>
      <c r="J635" s="26"/>
    </row>
    <row r="636" spans="7:10" ht="13.2" x14ac:dyDescent="0.25">
      <c r="G636" s="4" t="str">
        <f ca="1">IFERROR(__xludf.DUMMYFUNCTION("""COMPUTED_VALUE"""),"")</f>
        <v/>
      </c>
      <c r="J636" s="26"/>
    </row>
    <row r="637" spans="7:10" ht="13.2" x14ac:dyDescent="0.25">
      <c r="G637" s="4" t="str">
        <f ca="1">IFERROR(__xludf.DUMMYFUNCTION("""COMPUTED_VALUE"""),"")</f>
        <v/>
      </c>
      <c r="J637" s="26"/>
    </row>
    <row r="638" spans="7:10" ht="13.2" x14ac:dyDescent="0.25">
      <c r="G638" s="4" t="str">
        <f ca="1">IFERROR(__xludf.DUMMYFUNCTION("""COMPUTED_VALUE"""),"")</f>
        <v/>
      </c>
      <c r="J638" s="26"/>
    </row>
    <row r="639" spans="7:10" ht="13.2" x14ac:dyDescent="0.25">
      <c r="G639" s="4" t="str">
        <f ca="1">IFERROR(__xludf.DUMMYFUNCTION("""COMPUTED_VALUE"""),"")</f>
        <v/>
      </c>
      <c r="J639" s="26"/>
    </row>
    <row r="640" spans="7:10" ht="13.2" x14ac:dyDescent="0.25">
      <c r="G640" s="4" t="str">
        <f ca="1">IFERROR(__xludf.DUMMYFUNCTION("""COMPUTED_VALUE"""),"")</f>
        <v/>
      </c>
      <c r="J640" s="26"/>
    </row>
    <row r="641" spans="7:10" ht="13.2" x14ac:dyDescent="0.25">
      <c r="G641" s="4" t="str">
        <f ca="1">IFERROR(__xludf.DUMMYFUNCTION("""COMPUTED_VALUE"""),"")</f>
        <v/>
      </c>
      <c r="J641" s="26"/>
    </row>
    <row r="642" spans="7:10" ht="13.2" x14ac:dyDescent="0.25">
      <c r="G642" s="4" t="str">
        <f ca="1">IFERROR(__xludf.DUMMYFUNCTION("""COMPUTED_VALUE"""),"")</f>
        <v/>
      </c>
      <c r="J642" s="26"/>
    </row>
    <row r="643" spans="7:10" ht="13.2" x14ac:dyDescent="0.25">
      <c r="G643" s="4" t="str">
        <f ca="1">IFERROR(__xludf.DUMMYFUNCTION("""COMPUTED_VALUE"""),"")</f>
        <v/>
      </c>
      <c r="J643" s="26"/>
    </row>
    <row r="644" spans="7:10" ht="13.2" x14ac:dyDescent="0.25">
      <c r="G644" s="4" t="str">
        <f ca="1">IFERROR(__xludf.DUMMYFUNCTION("""COMPUTED_VALUE"""),"")</f>
        <v/>
      </c>
      <c r="J644" s="26"/>
    </row>
    <row r="645" spans="7:10" ht="13.2" x14ac:dyDescent="0.25">
      <c r="G645" s="4" t="str">
        <f ca="1">IFERROR(__xludf.DUMMYFUNCTION("""COMPUTED_VALUE"""),"")</f>
        <v/>
      </c>
      <c r="J645" s="26"/>
    </row>
    <row r="646" spans="7:10" ht="13.2" x14ac:dyDescent="0.25">
      <c r="G646" s="4" t="str">
        <f ca="1">IFERROR(__xludf.DUMMYFUNCTION("""COMPUTED_VALUE"""),"")</f>
        <v/>
      </c>
      <c r="J646" s="26"/>
    </row>
    <row r="647" spans="7:10" ht="13.2" x14ac:dyDescent="0.25">
      <c r="G647" s="4" t="str">
        <f ca="1">IFERROR(__xludf.DUMMYFUNCTION("""COMPUTED_VALUE"""),"")</f>
        <v/>
      </c>
      <c r="J647" s="26"/>
    </row>
    <row r="648" spans="7:10" ht="13.2" x14ac:dyDescent="0.25">
      <c r="G648" s="4" t="str">
        <f ca="1">IFERROR(__xludf.DUMMYFUNCTION("""COMPUTED_VALUE"""),"")</f>
        <v/>
      </c>
      <c r="J648" s="26"/>
    </row>
    <row r="649" spans="7:10" ht="13.2" x14ac:dyDescent="0.25">
      <c r="G649" s="4" t="str">
        <f ca="1">IFERROR(__xludf.DUMMYFUNCTION("""COMPUTED_VALUE"""),"")</f>
        <v/>
      </c>
      <c r="J649" s="26"/>
    </row>
    <row r="650" spans="7:10" ht="13.2" x14ac:dyDescent="0.25">
      <c r="G650" s="4" t="str">
        <f ca="1">IFERROR(__xludf.DUMMYFUNCTION("""COMPUTED_VALUE"""),"")</f>
        <v/>
      </c>
      <c r="J650" s="26"/>
    </row>
    <row r="651" spans="7:10" ht="13.2" x14ac:dyDescent="0.25">
      <c r="G651" s="4" t="str">
        <f ca="1">IFERROR(__xludf.DUMMYFUNCTION("""COMPUTED_VALUE"""),"")</f>
        <v/>
      </c>
      <c r="J651" s="26"/>
    </row>
    <row r="652" spans="7:10" ht="13.2" x14ac:dyDescent="0.25">
      <c r="G652" s="4" t="str">
        <f ca="1">IFERROR(__xludf.DUMMYFUNCTION("""COMPUTED_VALUE"""),"")</f>
        <v/>
      </c>
      <c r="J652" s="26"/>
    </row>
    <row r="653" spans="7:10" ht="13.2" x14ac:dyDescent="0.25">
      <c r="G653" s="4" t="str">
        <f ca="1">IFERROR(__xludf.DUMMYFUNCTION("""COMPUTED_VALUE"""),"")</f>
        <v/>
      </c>
      <c r="J653" s="26"/>
    </row>
    <row r="654" spans="7:10" ht="13.2" x14ac:dyDescent="0.25">
      <c r="G654" s="4" t="str">
        <f ca="1">IFERROR(__xludf.DUMMYFUNCTION("""COMPUTED_VALUE"""),"")</f>
        <v/>
      </c>
      <c r="J654" s="26"/>
    </row>
    <row r="655" spans="7:10" ht="13.2" x14ac:dyDescent="0.25">
      <c r="G655" s="4" t="str">
        <f ca="1">IFERROR(__xludf.DUMMYFUNCTION("""COMPUTED_VALUE"""),"")</f>
        <v/>
      </c>
      <c r="J655" s="26"/>
    </row>
    <row r="656" spans="7:10" ht="13.2" x14ac:dyDescent="0.25">
      <c r="G656" s="4" t="str">
        <f ca="1">IFERROR(__xludf.DUMMYFUNCTION("""COMPUTED_VALUE"""),"")</f>
        <v/>
      </c>
      <c r="J656" s="26"/>
    </row>
    <row r="657" spans="7:10" ht="13.2" x14ac:dyDescent="0.25">
      <c r="G657" s="4" t="str">
        <f ca="1">IFERROR(__xludf.DUMMYFUNCTION("""COMPUTED_VALUE"""),"")</f>
        <v/>
      </c>
      <c r="J657" s="26"/>
    </row>
    <row r="658" spans="7:10" ht="13.2" x14ac:dyDescent="0.25">
      <c r="G658" s="4" t="str">
        <f ca="1">IFERROR(__xludf.DUMMYFUNCTION("""COMPUTED_VALUE"""),"")</f>
        <v/>
      </c>
      <c r="J658" s="26"/>
    </row>
    <row r="659" spans="7:10" ht="13.2" x14ac:dyDescent="0.25">
      <c r="G659" s="4" t="str">
        <f ca="1">IFERROR(__xludf.DUMMYFUNCTION("""COMPUTED_VALUE"""),"")</f>
        <v/>
      </c>
      <c r="J659" s="26"/>
    </row>
    <row r="660" spans="7:10" ht="13.2" x14ac:dyDescent="0.25">
      <c r="G660" s="4" t="str">
        <f ca="1">IFERROR(__xludf.DUMMYFUNCTION("""COMPUTED_VALUE"""),"")</f>
        <v/>
      </c>
      <c r="J660" s="26"/>
    </row>
    <row r="661" spans="7:10" ht="13.2" x14ac:dyDescent="0.25">
      <c r="G661" s="4" t="str">
        <f ca="1">IFERROR(__xludf.DUMMYFUNCTION("""COMPUTED_VALUE"""),"")</f>
        <v/>
      </c>
      <c r="J661" s="26"/>
    </row>
    <row r="662" spans="7:10" ht="13.2" x14ac:dyDescent="0.25">
      <c r="G662" s="4" t="str">
        <f ca="1">IFERROR(__xludf.DUMMYFUNCTION("""COMPUTED_VALUE"""),"")</f>
        <v/>
      </c>
      <c r="J662" s="26"/>
    </row>
    <row r="663" spans="7:10" ht="13.2" x14ac:dyDescent="0.25">
      <c r="G663" s="4" t="str">
        <f ca="1">IFERROR(__xludf.DUMMYFUNCTION("""COMPUTED_VALUE"""),"")</f>
        <v/>
      </c>
      <c r="J663" s="26"/>
    </row>
    <row r="664" spans="7:10" ht="13.2" x14ac:dyDescent="0.25">
      <c r="G664" s="4" t="str">
        <f ca="1">IFERROR(__xludf.DUMMYFUNCTION("""COMPUTED_VALUE"""),"")</f>
        <v/>
      </c>
      <c r="J664" s="26"/>
    </row>
    <row r="665" spans="7:10" ht="13.2" x14ac:dyDescent="0.25">
      <c r="G665" s="4" t="str">
        <f ca="1">IFERROR(__xludf.DUMMYFUNCTION("""COMPUTED_VALUE"""),"")</f>
        <v/>
      </c>
      <c r="J665" s="26"/>
    </row>
    <row r="666" spans="7:10" ht="13.2" x14ac:dyDescent="0.25">
      <c r="G666" s="4" t="str">
        <f ca="1">IFERROR(__xludf.DUMMYFUNCTION("""COMPUTED_VALUE"""),"")</f>
        <v/>
      </c>
      <c r="J666" s="26"/>
    </row>
    <row r="667" spans="7:10" ht="13.2" x14ac:dyDescent="0.25">
      <c r="G667" s="4" t="str">
        <f ca="1">IFERROR(__xludf.DUMMYFUNCTION("""COMPUTED_VALUE"""),"")</f>
        <v/>
      </c>
      <c r="J667" s="26"/>
    </row>
    <row r="668" spans="7:10" ht="13.2" x14ac:dyDescent="0.25">
      <c r="G668" s="4" t="str">
        <f ca="1">IFERROR(__xludf.DUMMYFUNCTION("""COMPUTED_VALUE"""),"")</f>
        <v/>
      </c>
      <c r="J668" s="26"/>
    </row>
    <row r="669" spans="7:10" ht="13.2" x14ac:dyDescent="0.25">
      <c r="G669" s="4" t="str">
        <f ca="1">IFERROR(__xludf.DUMMYFUNCTION("""COMPUTED_VALUE"""),"")</f>
        <v/>
      </c>
      <c r="J669" s="26"/>
    </row>
    <row r="670" spans="7:10" ht="13.2" x14ac:dyDescent="0.25">
      <c r="G670" s="4" t="str">
        <f ca="1">IFERROR(__xludf.DUMMYFUNCTION("""COMPUTED_VALUE"""),"")</f>
        <v/>
      </c>
      <c r="J670" s="26"/>
    </row>
    <row r="671" spans="7:10" ht="13.2" x14ac:dyDescent="0.25">
      <c r="G671" s="4" t="str">
        <f ca="1">IFERROR(__xludf.DUMMYFUNCTION("""COMPUTED_VALUE"""),"")</f>
        <v/>
      </c>
      <c r="J671" s="26"/>
    </row>
    <row r="672" spans="7:10" ht="13.2" x14ac:dyDescent="0.25">
      <c r="G672" s="4" t="str">
        <f ca="1">IFERROR(__xludf.DUMMYFUNCTION("""COMPUTED_VALUE"""),"")</f>
        <v/>
      </c>
      <c r="J672" s="26"/>
    </row>
    <row r="673" spans="7:10" ht="13.2" x14ac:dyDescent="0.25">
      <c r="G673" s="4" t="str">
        <f ca="1">IFERROR(__xludf.DUMMYFUNCTION("""COMPUTED_VALUE"""),"")</f>
        <v/>
      </c>
      <c r="J673" s="26"/>
    </row>
    <row r="674" spans="7:10" ht="13.2" x14ac:dyDescent="0.25">
      <c r="G674" s="4" t="str">
        <f ca="1">IFERROR(__xludf.DUMMYFUNCTION("""COMPUTED_VALUE"""),"")</f>
        <v/>
      </c>
      <c r="J674" s="26"/>
    </row>
    <row r="675" spans="7:10" ht="13.2" x14ac:dyDescent="0.25">
      <c r="G675" s="4" t="str">
        <f ca="1">IFERROR(__xludf.DUMMYFUNCTION("""COMPUTED_VALUE"""),"")</f>
        <v/>
      </c>
      <c r="J675" s="26"/>
    </row>
    <row r="676" spans="7:10" ht="13.2" x14ac:dyDescent="0.25">
      <c r="G676" s="4" t="str">
        <f ca="1">IFERROR(__xludf.DUMMYFUNCTION("""COMPUTED_VALUE"""),"")</f>
        <v/>
      </c>
      <c r="J676" s="26"/>
    </row>
    <row r="677" spans="7:10" ht="13.2" x14ac:dyDescent="0.25">
      <c r="G677" s="4" t="str">
        <f ca="1">IFERROR(__xludf.DUMMYFUNCTION("""COMPUTED_VALUE"""),"")</f>
        <v/>
      </c>
      <c r="J677" s="26"/>
    </row>
    <row r="678" spans="7:10" ht="13.2" x14ac:dyDescent="0.25">
      <c r="G678" s="4" t="str">
        <f ca="1">IFERROR(__xludf.DUMMYFUNCTION("""COMPUTED_VALUE"""),"")</f>
        <v/>
      </c>
      <c r="J678" s="26"/>
    </row>
    <row r="679" spans="7:10" ht="13.2" x14ac:dyDescent="0.25">
      <c r="G679" s="4" t="str">
        <f ca="1">IFERROR(__xludf.DUMMYFUNCTION("""COMPUTED_VALUE"""),"")</f>
        <v/>
      </c>
      <c r="J679" s="26"/>
    </row>
    <row r="680" spans="7:10" ht="13.2" x14ac:dyDescent="0.25">
      <c r="G680" s="4" t="str">
        <f ca="1">IFERROR(__xludf.DUMMYFUNCTION("""COMPUTED_VALUE"""),"")</f>
        <v/>
      </c>
      <c r="J680" s="26"/>
    </row>
    <row r="681" spans="7:10" ht="13.2" x14ac:dyDescent="0.25">
      <c r="G681" s="4" t="str">
        <f ca="1">IFERROR(__xludf.DUMMYFUNCTION("""COMPUTED_VALUE"""),"")</f>
        <v/>
      </c>
      <c r="J681" s="26"/>
    </row>
    <row r="682" spans="7:10" ht="13.2" x14ac:dyDescent="0.25">
      <c r="G682" s="4" t="str">
        <f ca="1">IFERROR(__xludf.DUMMYFUNCTION("""COMPUTED_VALUE"""),"")</f>
        <v/>
      </c>
      <c r="J682" s="26"/>
    </row>
    <row r="683" spans="7:10" ht="13.2" x14ac:dyDescent="0.25">
      <c r="G683" s="4" t="str">
        <f ca="1">IFERROR(__xludf.DUMMYFUNCTION("""COMPUTED_VALUE"""),"")</f>
        <v/>
      </c>
      <c r="J683" s="26"/>
    </row>
    <row r="684" spans="7:10" ht="13.2" x14ac:dyDescent="0.25">
      <c r="G684" s="4" t="str">
        <f ca="1">IFERROR(__xludf.DUMMYFUNCTION("""COMPUTED_VALUE"""),"")</f>
        <v/>
      </c>
      <c r="J684" s="26"/>
    </row>
    <row r="685" spans="7:10" ht="13.2" x14ac:dyDescent="0.25">
      <c r="G685" s="4" t="str">
        <f ca="1">IFERROR(__xludf.DUMMYFUNCTION("""COMPUTED_VALUE"""),"")</f>
        <v/>
      </c>
      <c r="J685" s="26"/>
    </row>
    <row r="686" spans="7:10" ht="13.2" x14ac:dyDescent="0.25">
      <c r="G686" s="4" t="str">
        <f ca="1">IFERROR(__xludf.DUMMYFUNCTION("""COMPUTED_VALUE"""),"")</f>
        <v/>
      </c>
      <c r="J686" s="26"/>
    </row>
    <row r="687" spans="7:10" ht="13.2" x14ac:dyDescent="0.25">
      <c r="G687" s="4" t="str">
        <f ca="1">IFERROR(__xludf.DUMMYFUNCTION("""COMPUTED_VALUE"""),"")</f>
        <v/>
      </c>
      <c r="J687" s="26"/>
    </row>
    <row r="688" spans="7:10" ht="13.2" x14ac:dyDescent="0.25">
      <c r="G688" s="4" t="str">
        <f ca="1">IFERROR(__xludf.DUMMYFUNCTION("""COMPUTED_VALUE"""),"")</f>
        <v/>
      </c>
      <c r="J688" s="26"/>
    </row>
    <row r="689" spans="7:10" ht="13.2" x14ac:dyDescent="0.25">
      <c r="G689" s="4" t="str">
        <f ca="1">IFERROR(__xludf.DUMMYFUNCTION("""COMPUTED_VALUE"""),"")</f>
        <v/>
      </c>
      <c r="J689" s="26"/>
    </row>
    <row r="690" spans="7:10" ht="13.2" x14ac:dyDescent="0.25">
      <c r="G690" s="4" t="str">
        <f ca="1">IFERROR(__xludf.DUMMYFUNCTION("""COMPUTED_VALUE"""),"")</f>
        <v/>
      </c>
      <c r="J690" s="26"/>
    </row>
    <row r="691" spans="7:10" ht="13.2" x14ac:dyDescent="0.25">
      <c r="G691" s="4" t="str">
        <f ca="1">IFERROR(__xludf.DUMMYFUNCTION("""COMPUTED_VALUE"""),"")</f>
        <v/>
      </c>
      <c r="J691" s="26"/>
    </row>
    <row r="692" spans="7:10" ht="13.2" x14ac:dyDescent="0.25">
      <c r="G692" s="4" t="str">
        <f ca="1">IFERROR(__xludf.DUMMYFUNCTION("""COMPUTED_VALUE"""),"")</f>
        <v/>
      </c>
      <c r="J692" s="26"/>
    </row>
    <row r="693" spans="7:10" ht="13.2" x14ac:dyDescent="0.25">
      <c r="G693" s="4" t="str">
        <f ca="1">IFERROR(__xludf.DUMMYFUNCTION("""COMPUTED_VALUE"""),"")</f>
        <v/>
      </c>
      <c r="J693" s="26"/>
    </row>
    <row r="694" spans="7:10" ht="13.2" x14ac:dyDescent="0.25">
      <c r="G694" s="4" t="str">
        <f ca="1">IFERROR(__xludf.DUMMYFUNCTION("""COMPUTED_VALUE"""),"")</f>
        <v/>
      </c>
      <c r="J694" s="26"/>
    </row>
    <row r="695" spans="7:10" ht="13.2" x14ac:dyDescent="0.25">
      <c r="G695" s="4" t="str">
        <f ca="1">IFERROR(__xludf.DUMMYFUNCTION("""COMPUTED_VALUE"""),"")</f>
        <v/>
      </c>
      <c r="J695" s="26"/>
    </row>
    <row r="696" spans="7:10" ht="13.2" x14ac:dyDescent="0.25">
      <c r="G696" s="4" t="str">
        <f ca="1">IFERROR(__xludf.DUMMYFUNCTION("""COMPUTED_VALUE"""),"")</f>
        <v/>
      </c>
      <c r="J696" s="26"/>
    </row>
    <row r="697" spans="7:10" ht="13.2" x14ac:dyDescent="0.25">
      <c r="G697" s="4" t="str">
        <f ca="1">IFERROR(__xludf.DUMMYFUNCTION("""COMPUTED_VALUE"""),"")</f>
        <v/>
      </c>
      <c r="J697" s="26"/>
    </row>
    <row r="698" spans="7:10" ht="13.2" x14ac:dyDescent="0.25">
      <c r="G698" s="4" t="str">
        <f ca="1">IFERROR(__xludf.DUMMYFUNCTION("""COMPUTED_VALUE"""),"")</f>
        <v/>
      </c>
      <c r="J698" s="26"/>
    </row>
    <row r="699" spans="7:10" ht="13.2" x14ac:dyDescent="0.25">
      <c r="G699" s="4" t="str">
        <f ca="1">IFERROR(__xludf.DUMMYFUNCTION("""COMPUTED_VALUE"""),"")</f>
        <v/>
      </c>
      <c r="J699" s="26"/>
    </row>
    <row r="700" spans="7:10" ht="13.2" x14ac:dyDescent="0.25">
      <c r="G700" s="4" t="str">
        <f ca="1">IFERROR(__xludf.DUMMYFUNCTION("""COMPUTED_VALUE"""),"")</f>
        <v/>
      </c>
      <c r="J700" s="26"/>
    </row>
    <row r="701" spans="7:10" ht="13.2" x14ac:dyDescent="0.25">
      <c r="G701" s="4" t="str">
        <f ca="1">IFERROR(__xludf.DUMMYFUNCTION("""COMPUTED_VALUE"""),"")</f>
        <v/>
      </c>
      <c r="J701" s="26"/>
    </row>
    <row r="702" spans="7:10" ht="13.2" x14ac:dyDescent="0.25">
      <c r="G702" s="4" t="str">
        <f ca="1">IFERROR(__xludf.DUMMYFUNCTION("""COMPUTED_VALUE"""),"")</f>
        <v/>
      </c>
      <c r="J702" s="26"/>
    </row>
    <row r="703" spans="7:10" ht="13.2" x14ac:dyDescent="0.25">
      <c r="G703" s="4" t="str">
        <f ca="1">IFERROR(__xludf.DUMMYFUNCTION("""COMPUTED_VALUE"""),"")</f>
        <v/>
      </c>
      <c r="J703" s="26"/>
    </row>
    <row r="704" spans="7:10" ht="13.2" x14ac:dyDescent="0.25">
      <c r="G704" s="4" t="str">
        <f ca="1">IFERROR(__xludf.DUMMYFUNCTION("""COMPUTED_VALUE"""),"")</f>
        <v/>
      </c>
      <c r="J704" s="26"/>
    </row>
    <row r="705" spans="7:10" ht="13.2" x14ac:dyDescent="0.25">
      <c r="G705" s="4" t="str">
        <f ca="1">IFERROR(__xludf.DUMMYFUNCTION("""COMPUTED_VALUE"""),"")</f>
        <v/>
      </c>
      <c r="J705" s="26"/>
    </row>
    <row r="706" spans="7:10" ht="13.2" x14ac:dyDescent="0.25">
      <c r="G706" s="4" t="str">
        <f ca="1">IFERROR(__xludf.DUMMYFUNCTION("""COMPUTED_VALUE"""),"")</f>
        <v/>
      </c>
      <c r="J706" s="26"/>
    </row>
    <row r="707" spans="7:10" ht="13.2" x14ac:dyDescent="0.25">
      <c r="G707" s="4" t="str">
        <f ca="1">IFERROR(__xludf.DUMMYFUNCTION("""COMPUTED_VALUE"""),"")</f>
        <v/>
      </c>
      <c r="J707" s="26"/>
    </row>
    <row r="708" spans="7:10" ht="13.2" x14ac:dyDescent="0.25">
      <c r="G708" s="4" t="str">
        <f ca="1">IFERROR(__xludf.DUMMYFUNCTION("""COMPUTED_VALUE"""),"")</f>
        <v/>
      </c>
      <c r="J708" s="26"/>
    </row>
    <row r="709" spans="7:10" ht="13.2" x14ac:dyDescent="0.25">
      <c r="G709" s="4" t="str">
        <f ca="1">IFERROR(__xludf.DUMMYFUNCTION("""COMPUTED_VALUE"""),"")</f>
        <v/>
      </c>
      <c r="J709" s="26"/>
    </row>
    <row r="710" spans="7:10" ht="13.2" x14ac:dyDescent="0.25">
      <c r="G710" s="4" t="str">
        <f ca="1">IFERROR(__xludf.DUMMYFUNCTION("""COMPUTED_VALUE"""),"")</f>
        <v/>
      </c>
      <c r="J710" s="26"/>
    </row>
    <row r="711" spans="7:10" ht="13.2" x14ac:dyDescent="0.25">
      <c r="G711" s="4" t="str">
        <f ca="1">IFERROR(__xludf.DUMMYFUNCTION("""COMPUTED_VALUE"""),"")</f>
        <v/>
      </c>
      <c r="J711" s="26"/>
    </row>
    <row r="712" spans="7:10" ht="13.2" x14ac:dyDescent="0.25">
      <c r="G712" s="4" t="str">
        <f ca="1">IFERROR(__xludf.DUMMYFUNCTION("""COMPUTED_VALUE"""),"")</f>
        <v/>
      </c>
      <c r="J712" s="26"/>
    </row>
    <row r="713" spans="7:10" ht="13.2" x14ac:dyDescent="0.25">
      <c r="G713" s="4" t="str">
        <f ca="1">IFERROR(__xludf.DUMMYFUNCTION("""COMPUTED_VALUE"""),"")</f>
        <v/>
      </c>
      <c r="J713" s="26"/>
    </row>
    <row r="714" spans="7:10" ht="13.2" x14ac:dyDescent="0.25">
      <c r="G714" s="4" t="str">
        <f ca="1">IFERROR(__xludf.DUMMYFUNCTION("""COMPUTED_VALUE"""),"")</f>
        <v/>
      </c>
      <c r="J714" s="26"/>
    </row>
    <row r="715" spans="7:10" ht="13.2" x14ac:dyDescent="0.25">
      <c r="G715" s="4" t="str">
        <f ca="1">IFERROR(__xludf.DUMMYFUNCTION("""COMPUTED_VALUE"""),"")</f>
        <v/>
      </c>
      <c r="J715" s="26"/>
    </row>
    <row r="716" spans="7:10" ht="13.2" x14ac:dyDescent="0.25">
      <c r="G716" s="4" t="str">
        <f ca="1">IFERROR(__xludf.DUMMYFUNCTION("""COMPUTED_VALUE"""),"")</f>
        <v/>
      </c>
      <c r="J716" s="26"/>
    </row>
    <row r="717" spans="7:10" ht="13.2" x14ac:dyDescent="0.25">
      <c r="G717" s="4" t="str">
        <f ca="1">IFERROR(__xludf.DUMMYFUNCTION("""COMPUTED_VALUE"""),"")</f>
        <v/>
      </c>
      <c r="J717" s="26"/>
    </row>
    <row r="718" spans="7:10" ht="13.2" x14ac:dyDescent="0.25">
      <c r="G718" s="4" t="str">
        <f ca="1">IFERROR(__xludf.DUMMYFUNCTION("""COMPUTED_VALUE"""),"")</f>
        <v/>
      </c>
      <c r="J718" s="26"/>
    </row>
    <row r="719" spans="7:10" ht="13.2" x14ac:dyDescent="0.25">
      <c r="G719" s="4" t="str">
        <f ca="1">IFERROR(__xludf.DUMMYFUNCTION("""COMPUTED_VALUE"""),"")</f>
        <v/>
      </c>
      <c r="J719" s="26"/>
    </row>
    <row r="720" spans="7:10" ht="13.2" x14ac:dyDescent="0.25">
      <c r="G720" s="4" t="str">
        <f ca="1">IFERROR(__xludf.DUMMYFUNCTION("""COMPUTED_VALUE"""),"")</f>
        <v/>
      </c>
      <c r="J720" s="26"/>
    </row>
    <row r="721" spans="7:10" ht="13.2" x14ac:dyDescent="0.25">
      <c r="G721" s="4" t="str">
        <f ca="1">IFERROR(__xludf.DUMMYFUNCTION("""COMPUTED_VALUE"""),"")</f>
        <v/>
      </c>
      <c r="J721" s="26"/>
    </row>
    <row r="722" spans="7:10" ht="13.2" x14ac:dyDescent="0.25">
      <c r="G722" s="4" t="str">
        <f ca="1">IFERROR(__xludf.DUMMYFUNCTION("""COMPUTED_VALUE"""),"")</f>
        <v/>
      </c>
      <c r="J722" s="26"/>
    </row>
    <row r="723" spans="7:10" ht="13.2" x14ac:dyDescent="0.25">
      <c r="G723" s="4" t="str">
        <f ca="1">IFERROR(__xludf.DUMMYFUNCTION("""COMPUTED_VALUE"""),"")</f>
        <v/>
      </c>
      <c r="J723" s="26"/>
    </row>
    <row r="724" spans="7:10" ht="13.2" x14ac:dyDescent="0.25">
      <c r="G724" s="4" t="str">
        <f ca="1">IFERROR(__xludf.DUMMYFUNCTION("""COMPUTED_VALUE"""),"")</f>
        <v/>
      </c>
      <c r="J724" s="26"/>
    </row>
    <row r="725" spans="7:10" ht="13.2" x14ac:dyDescent="0.25">
      <c r="G725" s="4" t="str">
        <f ca="1">IFERROR(__xludf.DUMMYFUNCTION("""COMPUTED_VALUE"""),"")</f>
        <v/>
      </c>
      <c r="J725" s="26"/>
    </row>
    <row r="726" spans="7:10" ht="13.2" x14ac:dyDescent="0.25">
      <c r="G726" s="4" t="str">
        <f ca="1">IFERROR(__xludf.DUMMYFUNCTION("""COMPUTED_VALUE"""),"")</f>
        <v/>
      </c>
      <c r="J726" s="26"/>
    </row>
    <row r="727" spans="7:10" ht="13.2" x14ac:dyDescent="0.25">
      <c r="G727" s="4" t="str">
        <f ca="1">IFERROR(__xludf.DUMMYFUNCTION("""COMPUTED_VALUE"""),"")</f>
        <v/>
      </c>
      <c r="J727" s="26"/>
    </row>
    <row r="728" spans="7:10" ht="13.2" x14ac:dyDescent="0.25">
      <c r="G728" s="4" t="str">
        <f ca="1">IFERROR(__xludf.DUMMYFUNCTION("""COMPUTED_VALUE"""),"")</f>
        <v/>
      </c>
      <c r="J728" s="26"/>
    </row>
    <row r="729" spans="7:10" ht="13.2" x14ac:dyDescent="0.25">
      <c r="G729" s="4" t="str">
        <f ca="1">IFERROR(__xludf.DUMMYFUNCTION("""COMPUTED_VALUE"""),"")</f>
        <v/>
      </c>
      <c r="J729" s="26"/>
    </row>
    <row r="730" spans="7:10" ht="13.2" x14ac:dyDescent="0.25">
      <c r="G730" s="4" t="str">
        <f ca="1">IFERROR(__xludf.DUMMYFUNCTION("""COMPUTED_VALUE"""),"")</f>
        <v/>
      </c>
      <c r="J730" s="26"/>
    </row>
    <row r="731" spans="7:10" ht="13.2" x14ac:dyDescent="0.25">
      <c r="G731" s="4" t="str">
        <f ca="1">IFERROR(__xludf.DUMMYFUNCTION("""COMPUTED_VALUE"""),"")</f>
        <v/>
      </c>
      <c r="J731" s="26"/>
    </row>
    <row r="732" spans="7:10" ht="13.2" x14ac:dyDescent="0.25">
      <c r="G732" s="4" t="str">
        <f ca="1">IFERROR(__xludf.DUMMYFUNCTION("""COMPUTED_VALUE"""),"")</f>
        <v/>
      </c>
      <c r="J732" s="26"/>
    </row>
    <row r="733" spans="7:10" ht="13.2" x14ac:dyDescent="0.25">
      <c r="G733" s="4" t="str">
        <f ca="1">IFERROR(__xludf.DUMMYFUNCTION("""COMPUTED_VALUE"""),"")</f>
        <v/>
      </c>
      <c r="J733" s="26"/>
    </row>
    <row r="734" spans="7:10" ht="13.2" x14ac:dyDescent="0.25">
      <c r="G734" s="4" t="str">
        <f ca="1">IFERROR(__xludf.DUMMYFUNCTION("""COMPUTED_VALUE"""),"")</f>
        <v/>
      </c>
      <c r="J734" s="26"/>
    </row>
    <row r="735" spans="7:10" ht="13.2" x14ac:dyDescent="0.25">
      <c r="G735" s="4" t="str">
        <f ca="1">IFERROR(__xludf.DUMMYFUNCTION("""COMPUTED_VALUE"""),"")</f>
        <v/>
      </c>
      <c r="J735" s="26"/>
    </row>
    <row r="736" spans="7:10" ht="13.2" x14ac:dyDescent="0.25">
      <c r="G736" s="4" t="str">
        <f ca="1">IFERROR(__xludf.DUMMYFUNCTION("""COMPUTED_VALUE"""),"")</f>
        <v/>
      </c>
      <c r="J736" s="26"/>
    </row>
    <row r="737" spans="7:10" ht="13.2" x14ac:dyDescent="0.25">
      <c r="G737" s="4" t="str">
        <f ca="1">IFERROR(__xludf.DUMMYFUNCTION("""COMPUTED_VALUE"""),"")</f>
        <v/>
      </c>
      <c r="J737" s="26"/>
    </row>
    <row r="738" spans="7:10" ht="13.2" x14ac:dyDescent="0.25">
      <c r="G738" s="4" t="str">
        <f ca="1">IFERROR(__xludf.DUMMYFUNCTION("""COMPUTED_VALUE"""),"")</f>
        <v/>
      </c>
      <c r="J738" s="26"/>
    </row>
    <row r="739" spans="7:10" ht="13.2" x14ac:dyDescent="0.25">
      <c r="G739" s="4" t="str">
        <f ca="1">IFERROR(__xludf.DUMMYFUNCTION("""COMPUTED_VALUE"""),"")</f>
        <v/>
      </c>
      <c r="J739" s="26"/>
    </row>
    <row r="740" spans="7:10" ht="13.2" x14ac:dyDescent="0.25">
      <c r="G740" s="4" t="str">
        <f ca="1">IFERROR(__xludf.DUMMYFUNCTION("""COMPUTED_VALUE"""),"")</f>
        <v/>
      </c>
      <c r="J740" s="26"/>
    </row>
    <row r="741" spans="7:10" ht="13.2" x14ac:dyDescent="0.25">
      <c r="G741" s="4" t="str">
        <f ca="1">IFERROR(__xludf.DUMMYFUNCTION("""COMPUTED_VALUE"""),"")</f>
        <v/>
      </c>
      <c r="J741" s="26"/>
    </row>
    <row r="742" spans="7:10" ht="13.2" x14ac:dyDescent="0.25">
      <c r="G742" s="4" t="str">
        <f ca="1">IFERROR(__xludf.DUMMYFUNCTION("""COMPUTED_VALUE"""),"")</f>
        <v/>
      </c>
      <c r="J742" s="26"/>
    </row>
    <row r="743" spans="7:10" ht="13.2" x14ac:dyDescent="0.25">
      <c r="G743" s="4" t="str">
        <f ca="1">IFERROR(__xludf.DUMMYFUNCTION("""COMPUTED_VALUE"""),"")</f>
        <v/>
      </c>
      <c r="J743" s="26"/>
    </row>
    <row r="744" spans="7:10" ht="13.2" x14ac:dyDescent="0.25">
      <c r="G744" s="4" t="str">
        <f ca="1">IFERROR(__xludf.DUMMYFUNCTION("""COMPUTED_VALUE"""),"")</f>
        <v/>
      </c>
      <c r="J744" s="26"/>
    </row>
    <row r="745" spans="7:10" ht="13.2" x14ac:dyDescent="0.25">
      <c r="G745" s="4" t="str">
        <f ca="1">IFERROR(__xludf.DUMMYFUNCTION("""COMPUTED_VALUE"""),"")</f>
        <v/>
      </c>
      <c r="J745" s="26"/>
    </row>
    <row r="746" spans="7:10" ht="13.2" x14ac:dyDescent="0.25">
      <c r="G746" s="4" t="str">
        <f ca="1">IFERROR(__xludf.DUMMYFUNCTION("""COMPUTED_VALUE"""),"")</f>
        <v/>
      </c>
      <c r="J746" s="26"/>
    </row>
    <row r="747" spans="7:10" ht="13.2" x14ac:dyDescent="0.25">
      <c r="G747" s="4" t="str">
        <f ca="1">IFERROR(__xludf.DUMMYFUNCTION("""COMPUTED_VALUE"""),"")</f>
        <v/>
      </c>
      <c r="J747" s="26"/>
    </row>
    <row r="748" spans="7:10" ht="13.2" x14ac:dyDescent="0.25">
      <c r="G748" s="4" t="str">
        <f ca="1">IFERROR(__xludf.DUMMYFUNCTION("""COMPUTED_VALUE"""),"")</f>
        <v/>
      </c>
      <c r="J748" s="26"/>
    </row>
    <row r="749" spans="7:10" ht="13.2" x14ac:dyDescent="0.25">
      <c r="G749" s="4" t="str">
        <f ca="1">IFERROR(__xludf.DUMMYFUNCTION("""COMPUTED_VALUE"""),"")</f>
        <v/>
      </c>
      <c r="J749" s="26"/>
    </row>
    <row r="750" spans="7:10" ht="13.2" x14ac:dyDescent="0.25">
      <c r="G750" s="4" t="str">
        <f ca="1">IFERROR(__xludf.DUMMYFUNCTION("""COMPUTED_VALUE"""),"")</f>
        <v/>
      </c>
      <c r="J750" s="26"/>
    </row>
    <row r="751" spans="7:10" ht="13.2" x14ac:dyDescent="0.25">
      <c r="G751" s="4" t="str">
        <f ca="1">IFERROR(__xludf.DUMMYFUNCTION("""COMPUTED_VALUE"""),"")</f>
        <v/>
      </c>
      <c r="J751" s="26"/>
    </row>
    <row r="752" spans="7:10" ht="13.2" x14ac:dyDescent="0.25">
      <c r="G752" s="4" t="str">
        <f ca="1">IFERROR(__xludf.DUMMYFUNCTION("""COMPUTED_VALUE"""),"")</f>
        <v/>
      </c>
      <c r="J752" s="26"/>
    </row>
    <row r="753" spans="7:10" ht="13.2" x14ac:dyDescent="0.25">
      <c r="G753" s="4" t="str">
        <f ca="1">IFERROR(__xludf.DUMMYFUNCTION("""COMPUTED_VALUE"""),"")</f>
        <v/>
      </c>
      <c r="J753" s="26"/>
    </row>
    <row r="754" spans="7:10" ht="13.2" x14ac:dyDescent="0.25">
      <c r="G754" s="4" t="str">
        <f ca="1">IFERROR(__xludf.DUMMYFUNCTION("""COMPUTED_VALUE"""),"")</f>
        <v/>
      </c>
      <c r="J754" s="26"/>
    </row>
    <row r="755" spans="7:10" ht="13.2" x14ac:dyDescent="0.25">
      <c r="G755" s="4" t="str">
        <f ca="1">IFERROR(__xludf.DUMMYFUNCTION("""COMPUTED_VALUE"""),"")</f>
        <v/>
      </c>
      <c r="J755" s="26"/>
    </row>
    <row r="756" spans="7:10" ht="13.2" x14ac:dyDescent="0.25">
      <c r="G756" s="4" t="str">
        <f ca="1">IFERROR(__xludf.DUMMYFUNCTION("""COMPUTED_VALUE"""),"")</f>
        <v/>
      </c>
      <c r="J756" s="26"/>
    </row>
    <row r="757" spans="7:10" ht="13.2" x14ac:dyDescent="0.25">
      <c r="G757" s="4" t="str">
        <f ca="1">IFERROR(__xludf.DUMMYFUNCTION("""COMPUTED_VALUE"""),"")</f>
        <v/>
      </c>
      <c r="J757" s="26"/>
    </row>
    <row r="758" spans="7:10" ht="13.2" x14ac:dyDescent="0.25">
      <c r="G758" s="4" t="str">
        <f ca="1">IFERROR(__xludf.DUMMYFUNCTION("""COMPUTED_VALUE"""),"")</f>
        <v/>
      </c>
      <c r="J758" s="26"/>
    </row>
    <row r="759" spans="7:10" ht="13.2" x14ac:dyDescent="0.25">
      <c r="G759" s="4" t="str">
        <f ca="1">IFERROR(__xludf.DUMMYFUNCTION("""COMPUTED_VALUE"""),"")</f>
        <v/>
      </c>
      <c r="J759" s="26"/>
    </row>
    <row r="760" spans="7:10" ht="13.2" x14ac:dyDescent="0.25">
      <c r="G760" s="4" t="str">
        <f ca="1">IFERROR(__xludf.DUMMYFUNCTION("""COMPUTED_VALUE"""),"")</f>
        <v/>
      </c>
      <c r="J760" s="26"/>
    </row>
    <row r="761" spans="7:10" ht="13.2" x14ac:dyDescent="0.25">
      <c r="G761" s="4" t="str">
        <f ca="1">IFERROR(__xludf.DUMMYFUNCTION("""COMPUTED_VALUE"""),"")</f>
        <v/>
      </c>
      <c r="J761" s="26"/>
    </row>
    <row r="762" spans="7:10" ht="13.2" x14ac:dyDescent="0.25">
      <c r="G762" s="4" t="str">
        <f ca="1">IFERROR(__xludf.DUMMYFUNCTION("""COMPUTED_VALUE"""),"")</f>
        <v/>
      </c>
      <c r="J762" s="26"/>
    </row>
    <row r="763" spans="7:10" ht="13.2" x14ac:dyDescent="0.25">
      <c r="G763" s="4" t="str">
        <f ca="1">IFERROR(__xludf.DUMMYFUNCTION("""COMPUTED_VALUE"""),"")</f>
        <v/>
      </c>
      <c r="J763" s="26"/>
    </row>
    <row r="764" spans="7:10" ht="13.2" x14ac:dyDescent="0.25">
      <c r="G764" s="4" t="str">
        <f ca="1">IFERROR(__xludf.DUMMYFUNCTION("""COMPUTED_VALUE"""),"")</f>
        <v/>
      </c>
      <c r="J764" s="26"/>
    </row>
    <row r="765" spans="7:10" ht="13.2" x14ac:dyDescent="0.25">
      <c r="G765" s="4" t="str">
        <f ca="1">IFERROR(__xludf.DUMMYFUNCTION("""COMPUTED_VALUE"""),"")</f>
        <v/>
      </c>
      <c r="J765" s="26"/>
    </row>
    <row r="766" spans="7:10" ht="13.2" x14ac:dyDescent="0.25">
      <c r="G766" s="4" t="str">
        <f ca="1">IFERROR(__xludf.DUMMYFUNCTION("""COMPUTED_VALUE"""),"")</f>
        <v/>
      </c>
      <c r="J766" s="26"/>
    </row>
    <row r="767" spans="7:10" ht="13.2" x14ac:dyDescent="0.25">
      <c r="G767" s="4" t="str">
        <f ca="1">IFERROR(__xludf.DUMMYFUNCTION("""COMPUTED_VALUE"""),"")</f>
        <v/>
      </c>
      <c r="J767" s="26"/>
    </row>
    <row r="768" spans="7:10" ht="13.2" x14ac:dyDescent="0.25">
      <c r="G768" s="4" t="str">
        <f ca="1">IFERROR(__xludf.DUMMYFUNCTION("""COMPUTED_VALUE"""),"")</f>
        <v/>
      </c>
      <c r="J768" s="26"/>
    </row>
    <row r="769" spans="7:10" ht="13.2" x14ac:dyDescent="0.25">
      <c r="G769" s="4" t="str">
        <f ca="1">IFERROR(__xludf.DUMMYFUNCTION("""COMPUTED_VALUE"""),"")</f>
        <v/>
      </c>
      <c r="J769" s="26"/>
    </row>
    <row r="770" spans="7:10" ht="13.2" x14ac:dyDescent="0.25">
      <c r="G770" s="4" t="str">
        <f ca="1">IFERROR(__xludf.DUMMYFUNCTION("""COMPUTED_VALUE"""),"")</f>
        <v/>
      </c>
      <c r="J770" s="26"/>
    </row>
    <row r="771" spans="7:10" ht="13.2" x14ac:dyDescent="0.25">
      <c r="G771" s="4" t="str">
        <f ca="1">IFERROR(__xludf.DUMMYFUNCTION("""COMPUTED_VALUE"""),"")</f>
        <v/>
      </c>
      <c r="J771" s="26"/>
    </row>
    <row r="772" spans="7:10" ht="13.2" x14ac:dyDescent="0.25">
      <c r="G772" s="4" t="str">
        <f ca="1">IFERROR(__xludf.DUMMYFUNCTION("""COMPUTED_VALUE"""),"")</f>
        <v/>
      </c>
      <c r="J772" s="26"/>
    </row>
    <row r="773" spans="7:10" ht="13.2" x14ac:dyDescent="0.25">
      <c r="G773" s="4" t="str">
        <f ca="1">IFERROR(__xludf.DUMMYFUNCTION("""COMPUTED_VALUE"""),"")</f>
        <v/>
      </c>
      <c r="J773" s="26"/>
    </row>
    <row r="774" spans="7:10" ht="13.2" x14ac:dyDescent="0.25">
      <c r="G774" s="4" t="str">
        <f ca="1">IFERROR(__xludf.DUMMYFUNCTION("""COMPUTED_VALUE"""),"")</f>
        <v/>
      </c>
      <c r="J774" s="26"/>
    </row>
    <row r="775" spans="7:10" ht="13.2" x14ac:dyDescent="0.25">
      <c r="G775" s="4" t="str">
        <f ca="1">IFERROR(__xludf.DUMMYFUNCTION("""COMPUTED_VALUE"""),"")</f>
        <v/>
      </c>
      <c r="J775" s="26"/>
    </row>
    <row r="776" spans="7:10" ht="13.2" x14ac:dyDescent="0.25">
      <c r="G776" s="4" t="str">
        <f ca="1">IFERROR(__xludf.DUMMYFUNCTION("""COMPUTED_VALUE"""),"")</f>
        <v/>
      </c>
      <c r="J776" s="26"/>
    </row>
    <row r="777" spans="7:10" ht="13.2" x14ac:dyDescent="0.25">
      <c r="G777" s="4" t="str">
        <f ca="1">IFERROR(__xludf.DUMMYFUNCTION("""COMPUTED_VALUE"""),"")</f>
        <v/>
      </c>
      <c r="J777" s="26"/>
    </row>
    <row r="778" spans="7:10" ht="13.2" x14ac:dyDescent="0.25">
      <c r="G778" s="4" t="str">
        <f ca="1">IFERROR(__xludf.DUMMYFUNCTION("""COMPUTED_VALUE"""),"")</f>
        <v/>
      </c>
      <c r="J778" s="26"/>
    </row>
    <row r="779" spans="7:10" ht="13.2" x14ac:dyDescent="0.25">
      <c r="G779" s="4" t="str">
        <f ca="1">IFERROR(__xludf.DUMMYFUNCTION("""COMPUTED_VALUE"""),"")</f>
        <v/>
      </c>
      <c r="J779" s="26"/>
    </row>
    <row r="780" spans="7:10" ht="13.2" x14ac:dyDescent="0.25">
      <c r="G780" s="4" t="str">
        <f ca="1">IFERROR(__xludf.DUMMYFUNCTION("""COMPUTED_VALUE"""),"")</f>
        <v/>
      </c>
      <c r="J780" s="26"/>
    </row>
    <row r="781" spans="7:10" ht="13.2" x14ac:dyDescent="0.25">
      <c r="G781" s="4" t="str">
        <f ca="1">IFERROR(__xludf.DUMMYFUNCTION("""COMPUTED_VALUE"""),"")</f>
        <v/>
      </c>
      <c r="J781" s="26"/>
    </row>
    <row r="782" spans="7:10" ht="13.2" x14ac:dyDescent="0.25">
      <c r="G782" s="4" t="str">
        <f ca="1">IFERROR(__xludf.DUMMYFUNCTION("""COMPUTED_VALUE"""),"")</f>
        <v/>
      </c>
      <c r="J782" s="26"/>
    </row>
    <row r="783" spans="7:10" ht="13.2" x14ac:dyDescent="0.25">
      <c r="G783" s="4" t="str">
        <f ca="1">IFERROR(__xludf.DUMMYFUNCTION("""COMPUTED_VALUE"""),"")</f>
        <v/>
      </c>
      <c r="J783" s="26"/>
    </row>
    <row r="784" spans="7:10" ht="13.2" x14ac:dyDescent="0.25">
      <c r="G784" s="4" t="str">
        <f ca="1">IFERROR(__xludf.DUMMYFUNCTION("""COMPUTED_VALUE"""),"")</f>
        <v/>
      </c>
      <c r="J784" s="26"/>
    </row>
    <row r="785" spans="7:10" ht="13.2" x14ac:dyDescent="0.25">
      <c r="G785" s="4" t="str">
        <f ca="1">IFERROR(__xludf.DUMMYFUNCTION("""COMPUTED_VALUE"""),"")</f>
        <v/>
      </c>
      <c r="J785" s="26"/>
    </row>
    <row r="786" spans="7:10" ht="13.2" x14ac:dyDescent="0.25">
      <c r="G786" s="4" t="str">
        <f ca="1">IFERROR(__xludf.DUMMYFUNCTION("""COMPUTED_VALUE"""),"")</f>
        <v/>
      </c>
      <c r="J786" s="26"/>
    </row>
    <row r="787" spans="7:10" ht="13.2" x14ac:dyDescent="0.25">
      <c r="G787" s="4" t="str">
        <f ca="1">IFERROR(__xludf.DUMMYFUNCTION("""COMPUTED_VALUE"""),"")</f>
        <v/>
      </c>
      <c r="J787" s="26"/>
    </row>
    <row r="788" spans="7:10" ht="13.2" x14ac:dyDescent="0.25">
      <c r="G788" s="4" t="str">
        <f ca="1">IFERROR(__xludf.DUMMYFUNCTION("""COMPUTED_VALUE"""),"")</f>
        <v/>
      </c>
      <c r="J788" s="26"/>
    </row>
    <row r="789" spans="7:10" ht="13.2" x14ac:dyDescent="0.25">
      <c r="G789" s="4" t="str">
        <f ca="1">IFERROR(__xludf.DUMMYFUNCTION("""COMPUTED_VALUE"""),"")</f>
        <v/>
      </c>
      <c r="J789" s="26"/>
    </row>
    <row r="790" spans="7:10" ht="13.2" x14ac:dyDescent="0.25">
      <c r="G790" s="4" t="str">
        <f ca="1">IFERROR(__xludf.DUMMYFUNCTION("""COMPUTED_VALUE"""),"")</f>
        <v/>
      </c>
      <c r="J790" s="26"/>
    </row>
    <row r="791" spans="7:10" ht="13.2" x14ac:dyDescent="0.25">
      <c r="G791" s="4" t="str">
        <f ca="1">IFERROR(__xludf.DUMMYFUNCTION("""COMPUTED_VALUE"""),"")</f>
        <v/>
      </c>
      <c r="J791" s="26"/>
    </row>
    <row r="792" spans="7:10" ht="13.2" x14ac:dyDescent="0.25">
      <c r="G792" s="4" t="str">
        <f ca="1">IFERROR(__xludf.DUMMYFUNCTION("""COMPUTED_VALUE"""),"")</f>
        <v/>
      </c>
      <c r="J792" s="26"/>
    </row>
    <row r="793" spans="7:10" ht="13.2" x14ac:dyDescent="0.25">
      <c r="G793" s="4" t="str">
        <f ca="1">IFERROR(__xludf.DUMMYFUNCTION("""COMPUTED_VALUE"""),"")</f>
        <v/>
      </c>
      <c r="J793" s="26"/>
    </row>
    <row r="794" spans="7:10" ht="13.2" x14ac:dyDescent="0.25">
      <c r="G794" s="4" t="str">
        <f ca="1">IFERROR(__xludf.DUMMYFUNCTION("""COMPUTED_VALUE"""),"")</f>
        <v/>
      </c>
      <c r="J794" s="26"/>
    </row>
    <row r="795" spans="7:10" ht="13.2" x14ac:dyDescent="0.25">
      <c r="G795" s="4" t="str">
        <f ca="1">IFERROR(__xludf.DUMMYFUNCTION("""COMPUTED_VALUE"""),"")</f>
        <v/>
      </c>
      <c r="J795" s="26"/>
    </row>
    <row r="796" spans="7:10" ht="13.2" x14ac:dyDescent="0.25">
      <c r="G796" s="4" t="str">
        <f ca="1">IFERROR(__xludf.DUMMYFUNCTION("""COMPUTED_VALUE"""),"")</f>
        <v/>
      </c>
      <c r="J796" s="26"/>
    </row>
    <row r="797" spans="7:10" ht="13.2" x14ac:dyDescent="0.25">
      <c r="G797" s="4" t="str">
        <f ca="1">IFERROR(__xludf.DUMMYFUNCTION("""COMPUTED_VALUE"""),"")</f>
        <v/>
      </c>
      <c r="J797" s="26"/>
    </row>
    <row r="798" spans="7:10" ht="13.2" x14ac:dyDescent="0.25">
      <c r="G798" s="4" t="str">
        <f ca="1">IFERROR(__xludf.DUMMYFUNCTION("""COMPUTED_VALUE"""),"")</f>
        <v/>
      </c>
      <c r="J798" s="26"/>
    </row>
    <row r="799" spans="7:10" ht="13.2" x14ac:dyDescent="0.25">
      <c r="G799" s="4" t="str">
        <f ca="1">IFERROR(__xludf.DUMMYFUNCTION("""COMPUTED_VALUE"""),"")</f>
        <v/>
      </c>
      <c r="J799" s="26"/>
    </row>
    <row r="800" spans="7:10" ht="13.2" x14ac:dyDescent="0.25">
      <c r="G800" s="4" t="str">
        <f ca="1">IFERROR(__xludf.DUMMYFUNCTION("""COMPUTED_VALUE"""),"")</f>
        <v/>
      </c>
      <c r="J800" s="26"/>
    </row>
    <row r="801" spans="7:10" ht="13.2" x14ac:dyDescent="0.25">
      <c r="G801" s="4" t="str">
        <f ca="1">IFERROR(__xludf.DUMMYFUNCTION("""COMPUTED_VALUE"""),"")</f>
        <v/>
      </c>
      <c r="J801" s="26"/>
    </row>
    <row r="802" spans="7:10" ht="13.2" x14ac:dyDescent="0.25">
      <c r="G802" s="4" t="str">
        <f ca="1">IFERROR(__xludf.DUMMYFUNCTION("""COMPUTED_VALUE"""),"")</f>
        <v/>
      </c>
      <c r="J802" s="26"/>
    </row>
    <row r="803" spans="7:10" ht="13.2" x14ac:dyDescent="0.25">
      <c r="G803" s="4" t="str">
        <f ca="1">IFERROR(__xludf.DUMMYFUNCTION("""COMPUTED_VALUE"""),"")</f>
        <v/>
      </c>
      <c r="J803" s="26"/>
    </row>
    <row r="804" spans="7:10" ht="13.2" x14ac:dyDescent="0.25">
      <c r="G804" s="4" t="str">
        <f ca="1">IFERROR(__xludf.DUMMYFUNCTION("""COMPUTED_VALUE"""),"")</f>
        <v/>
      </c>
      <c r="J804" s="26"/>
    </row>
    <row r="805" spans="7:10" ht="13.2" x14ac:dyDescent="0.25">
      <c r="G805" s="4" t="str">
        <f ca="1">IFERROR(__xludf.DUMMYFUNCTION("""COMPUTED_VALUE"""),"")</f>
        <v/>
      </c>
      <c r="J805" s="26"/>
    </row>
    <row r="806" spans="7:10" ht="13.2" x14ac:dyDescent="0.25">
      <c r="G806" s="4" t="str">
        <f ca="1">IFERROR(__xludf.DUMMYFUNCTION("""COMPUTED_VALUE"""),"")</f>
        <v/>
      </c>
      <c r="J806" s="26"/>
    </row>
    <row r="807" spans="7:10" ht="13.2" x14ac:dyDescent="0.25">
      <c r="G807" s="4" t="str">
        <f ca="1">IFERROR(__xludf.DUMMYFUNCTION("""COMPUTED_VALUE"""),"")</f>
        <v/>
      </c>
      <c r="J807" s="26"/>
    </row>
    <row r="808" spans="7:10" ht="13.2" x14ac:dyDescent="0.25">
      <c r="G808" s="4" t="str">
        <f ca="1">IFERROR(__xludf.DUMMYFUNCTION("""COMPUTED_VALUE"""),"")</f>
        <v/>
      </c>
      <c r="J808" s="26"/>
    </row>
    <row r="809" spans="7:10" ht="13.2" x14ac:dyDescent="0.25">
      <c r="G809" s="4" t="str">
        <f ca="1">IFERROR(__xludf.DUMMYFUNCTION("""COMPUTED_VALUE"""),"")</f>
        <v/>
      </c>
      <c r="J809" s="26"/>
    </row>
    <row r="810" spans="7:10" ht="13.2" x14ac:dyDescent="0.25">
      <c r="G810" s="4" t="str">
        <f ca="1">IFERROR(__xludf.DUMMYFUNCTION("""COMPUTED_VALUE"""),"")</f>
        <v/>
      </c>
      <c r="J810" s="26"/>
    </row>
    <row r="811" spans="7:10" ht="13.2" x14ac:dyDescent="0.25">
      <c r="G811" s="4" t="str">
        <f ca="1">IFERROR(__xludf.DUMMYFUNCTION("""COMPUTED_VALUE"""),"")</f>
        <v/>
      </c>
      <c r="J811" s="26"/>
    </row>
    <row r="812" spans="7:10" ht="13.2" x14ac:dyDescent="0.25">
      <c r="G812" s="4" t="str">
        <f ca="1">IFERROR(__xludf.DUMMYFUNCTION("""COMPUTED_VALUE"""),"")</f>
        <v/>
      </c>
      <c r="J812" s="26"/>
    </row>
    <row r="813" spans="7:10" ht="13.2" x14ac:dyDescent="0.25">
      <c r="G813" s="4" t="str">
        <f ca="1">IFERROR(__xludf.DUMMYFUNCTION("""COMPUTED_VALUE"""),"")</f>
        <v/>
      </c>
      <c r="J813" s="26"/>
    </row>
    <row r="814" spans="7:10" ht="13.2" x14ac:dyDescent="0.25">
      <c r="G814" s="4" t="str">
        <f ca="1">IFERROR(__xludf.DUMMYFUNCTION("""COMPUTED_VALUE"""),"")</f>
        <v/>
      </c>
      <c r="J814" s="26"/>
    </row>
    <row r="815" spans="7:10" ht="13.2" x14ac:dyDescent="0.25">
      <c r="G815" s="4" t="str">
        <f ca="1">IFERROR(__xludf.DUMMYFUNCTION("""COMPUTED_VALUE"""),"")</f>
        <v/>
      </c>
      <c r="J815" s="26"/>
    </row>
    <row r="816" spans="7:10" ht="13.2" x14ac:dyDescent="0.25">
      <c r="G816" s="4" t="str">
        <f ca="1">IFERROR(__xludf.DUMMYFUNCTION("""COMPUTED_VALUE"""),"")</f>
        <v/>
      </c>
      <c r="J816" s="26"/>
    </row>
    <row r="817" spans="7:10" ht="13.2" x14ac:dyDescent="0.25">
      <c r="G817" s="4" t="str">
        <f ca="1">IFERROR(__xludf.DUMMYFUNCTION("""COMPUTED_VALUE"""),"")</f>
        <v/>
      </c>
      <c r="J817" s="26"/>
    </row>
    <row r="818" spans="7:10" ht="13.2" x14ac:dyDescent="0.25">
      <c r="G818" s="4" t="str">
        <f ca="1">IFERROR(__xludf.DUMMYFUNCTION("""COMPUTED_VALUE"""),"")</f>
        <v/>
      </c>
      <c r="J818" s="26"/>
    </row>
    <row r="819" spans="7:10" ht="13.2" x14ac:dyDescent="0.25">
      <c r="G819" s="4" t="str">
        <f ca="1">IFERROR(__xludf.DUMMYFUNCTION("""COMPUTED_VALUE"""),"")</f>
        <v/>
      </c>
      <c r="J819" s="26"/>
    </row>
    <row r="820" spans="7:10" ht="13.2" x14ac:dyDescent="0.25">
      <c r="G820" s="4" t="str">
        <f ca="1">IFERROR(__xludf.DUMMYFUNCTION("""COMPUTED_VALUE"""),"")</f>
        <v/>
      </c>
      <c r="J820" s="26"/>
    </row>
    <row r="821" spans="7:10" ht="13.2" x14ac:dyDescent="0.25">
      <c r="G821" s="4" t="str">
        <f ca="1">IFERROR(__xludf.DUMMYFUNCTION("""COMPUTED_VALUE"""),"")</f>
        <v/>
      </c>
      <c r="J821" s="26"/>
    </row>
    <row r="822" spans="7:10" ht="13.2" x14ac:dyDescent="0.25">
      <c r="G822" s="4" t="str">
        <f ca="1">IFERROR(__xludf.DUMMYFUNCTION("""COMPUTED_VALUE"""),"")</f>
        <v/>
      </c>
      <c r="J822" s="26"/>
    </row>
    <row r="823" spans="7:10" ht="13.2" x14ac:dyDescent="0.25">
      <c r="G823" s="4" t="str">
        <f ca="1">IFERROR(__xludf.DUMMYFUNCTION("""COMPUTED_VALUE"""),"")</f>
        <v/>
      </c>
      <c r="J823" s="26"/>
    </row>
    <row r="824" spans="7:10" ht="13.2" x14ac:dyDescent="0.25">
      <c r="G824" s="4" t="str">
        <f ca="1">IFERROR(__xludf.DUMMYFUNCTION("""COMPUTED_VALUE"""),"")</f>
        <v/>
      </c>
      <c r="J824" s="26"/>
    </row>
    <row r="825" spans="7:10" ht="13.2" x14ac:dyDescent="0.25">
      <c r="G825" s="4" t="str">
        <f ca="1">IFERROR(__xludf.DUMMYFUNCTION("""COMPUTED_VALUE"""),"")</f>
        <v/>
      </c>
      <c r="J825" s="26"/>
    </row>
    <row r="826" spans="7:10" ht="13.2" x14ac:dyDescent="0.25">
      <c r="G826" s="4" t="str">
        <f ca="1">IFERROR(__xludf.DUMMYFUNCTION("""COMPUTED_VALUE"""),"")</f>
        <v/>
      </c>
      <c r="J826" s="26"/>
    </row>
    <row r="827" spans="7:10" ht="13.2" x14ac:dyDescent="0.25">
      <c r="G827" s="4" t="str">
        <f ca="1">IFERROR(__xludf.DUMMYFUNCTION("""COMPUTED_VALUE"""),"")</f>
        <v/>
      </c>
      <c r="J827" s="26"/>
    </row>
    <row r="828" spans="7:10" ht="13.2" x14ac:dyDescent="0.25">
      <c r="G828" s="4" t="str">
        <f ca="1">IFERROR(__xludf.DUMMYFUNCTION("""COMPUTED_VALUE"""),"")</f>
        <v/>
      </c>
      <c r="J828" s="26"/>
    </row>
    <row r="829" spans="7:10" ht="13.2" x14ac:dyDescent="0.25">
      <c r="G829" s="4" t="str">
        <f ca="1">IFERROR(__xludf.DUMMYFUNCTION("""COMPUTED_VALUE"""),"")</f>
        <v/>
      </c>
      <c r="J829" s="26"/>
    </row>
    <row r="830" spans="7:10" ht="13.2" x14ac:dyDescent="0.25">
      <c r="G830" s="4" t="str">
        <f ca="1">IFERROR(__xludf.DUMMYFUNCTION("""COMPUTED_VALUE"""),"")</f>
        <v/>
      </c>
      <c r="J830" s="26"/>
    </row>
    <row r="831" spans="7:10" ht="13.2" x14ac:dyDescent="0.25">
      <c r="G831" s="4" t="str">
        <f ca="1">IFERROR(__xludf.DUMMYFUNCTION("""COMPUTED_VALUE"""),"")</f>
        <v/>
      </c>
      <c r="J831" s="26"/>
    </row>
    <row r="832" spans="7:10" ht="13.2" x14ac:dyDescent="0.25">
      <c r="G832" s="4" t="str">
        <f ca="1">IFERROR(__xludf.DUMMYFUNCTION("""COMPUTED_VALUE"""),"")</f>
        <v/>
      </c>
      <c r="J832" s="26"/>
    </row>
    <row r="833" spans="7:10" ht="13.2" x14ac:dyDescent="0.25">
      <c r="G833" s="4" t="str">
        <f ca="1">IFERROR(__xludf.DUMMYFUNCTION("""COMPUTED_VALUE"""),"")</f>
        <v/>
      </c>
      <c r="J833" s="26"/>
    </row>
    <row r="834" spans="7:10" ht="13.2" x14ac:dyDescent="0.25">
      <c r="G834" s="4" t="str">
        <f ca="1">IFERROR(__xludf.DUMMYFUNCTION("""COMPUTED_VALUE"""),"")</f>
        <v/>
      </c>
      <c r="J834" s="26"/>
    </row>
    <row r="835" spans="7:10" ht="13.2" x14ac:dyDescent="0.25">
      <c r="G835" s="4" t="str">
        <f ca="1">IFERROR(__xludf.DUMMYFUNCTION("""COMPUTED_VALUE"""),"")</f>
        <v/>
      </c>
      <c r="J835" s="26"/>
    </row>
    <row r="836" spans="7:10" ht="13.2" x14ac:dyDescent="0.25">
      <c r="G836" s="4" t="str">
        <f ca="1">IFERROR(__xludf.DUMMYFUNCTION("""COMPUTED_VALUE"""),"")</f>
        <v/>
      </c>
      <c r="J836" s="26"/>
    </row>
    <row r="837" spans="7:10" ht="13.2" x14ac:dyDescent="0.25">
      <c r="G837" s="4" t="str">
        <f ca="1">IFERROR(__xludf.DUMMYFUNCTION("""COMPUTED_VALUE"""),"")</f>
        <v/>
      </c>
      <c r="J837" s="26"/>
    </row>
    <row r="838" spans="7:10" ht="13.2" x14ac:dyDescent="0.25">
      <c r="G838" s="4" t="str">
        <f ca="1">IFERROR(__xludf.DUMMYFUNCTION("""COMPUTED_VALUE"""),"")</f>
        <v/>
      </c>
      <c r="J838" s="26"/>
    </row>
    <row r="839" spans="7:10" ht="13.2" x14ac:dyDescent="0.25">
      <c r="G839" s="4" t="str">
        <f ca="1">IFERROR(__xludf.DUMMYFUNCTION("""COMPUTED_VALUE"""),"")</f>
        <v/>
      </c>
      <c r="J839" s="26"/>
    </row>
    <row r="840" spans="7:10" ht="13.2" x14ac:dyDescent="0.25">
      <c r="G840" s="4" t="str">
        <f ca="1">IFERROR(__xludf.DUMMYFUNCTION("""COMPUTED_VALUE"""),"")</f>
        <v/>
      </c>
      <c r="J840" s="26"/>
    </row>
    <row r="841" spans="7:10" ht="13.2" x14ac:dyDescent="0.25">
      <c r="G841" s="4" t="str">
        <f ca="1">IFERROR(__xludf.DUMMYFUNCTION("""COMPUTED_VALUE"""),"")</f>
        <v/>
      </c>
      <c r="J841" s="26"/>
    </row>
    <row r="842" spans="7:10" ht="13.2" x14ac:dyDescent="0.25">
      <c r="G842" s="4" t="str">
        <f ca="1">IFERROR(__xludf.DUMMYFUNCTION("""COMPUTED_VALUE"""),"")</f>
        <v/>
      </c>
      <c r="J842" s="26"/>
    </row>
    <row r="843" spans="7:10" ht="13.2" x14ac:dyDescent="0.25">
      <c r="G843" s="4" t="str">
        <f ca="1">IFERROR(__xludf.DUMMYFUNCTION("""COMPUTED_VALUE"""),"")</f>
        <v/>
      </c>
      <c r="J843" s="26"/>
    </row>
    <row r="844" spans="7:10" ht="13.2" x14ac:dyDescent="0.25">
      <c r="G844" s="4" t="str">
        <f ca="1">IFERROR(__xludf.DUMMYFUNCTION("""COMPUTED_VALUE"""),"")</f>
        <v/>
      </c>
      <c r="J844" s="26"/>
    </row>
    <row r="845" spans="7:10" ht="13.2" x14ac:dyDescent="0.25">
      <c r="G845" s="4" t="str">
        <f ca="1">IFERROR(__xludf.DUMMYFUNCTION("""COMPUTED_VALUE"""),"")</f>
        <v/>
      </c>
      <c r="J845" s="26"/>
    </row>
    <row r="846" spans="7:10" ht="13.2" x14ac:dyDescent="0.25">
      <c r="G846" s="4" t="str">
        <f ca="1">IFERROR(__xludf.DUMMYFUNCTION("""COMPUTED_VALUE"""),"")</f>
        <v/>
      </c>
      <c r="J846" s="26"/>
    </row>
    <row r="847" spans="7:10" ht="13.2" x14ac:dyDescent="0.25">
      <c r="G847" s="4" t="str">
        <f ca="1">IFERROR(__xludf.DUMMYFUNCTION("""COMPUTED_VALUE"""),"")</f>
        <v/>
      </c>
      <c r="J847" s="26"/>
    </row>
    <row r="848" spans="7:10" ht="13.2" x14ac:dyDescent="0.25">
      <c r="G848" s="4" t="str">
        <f ca="1">IFERROR(__xludf.DUMMYFUNCTION("""COMPUTED_VALUE"""),"")</f>
        <v/>
      </c>
      <c r="J848" s="26"/>
    </row>
    <row r="849" spans="7:10" ht="13.2" x14ac:dyDescent="0.25">
      <c r="G849" s="4" t="str">
        <f ca="1">IFERROR(__xludf.DUMMYFUNCTION("""COMPUTED_VALUE"""),"")</f>
        <v/>
      </c>
      <c r="J849" s="26"/>
    </row>
    <row r="850" spans="7:10" ht="13.2" x14ac:dyDescent="0.25">
      <c r="G850" s="4" t="str">
        <f ca="1">IFERROR(__xludf.DUMMYFUNCTION("""COMPUTED_VALUE"""),"")</f>
        <v/>
      </c>
      <c r="J850" s="26"/>
    </row>
    <row r="851" spans="7:10" ht="13.2" x14ac:dyDescent="0.25">
      <c r="G851" s="4" t="str">
        <f ca="1">IFERROR(__xludf.DUMMYFUNCTION("""COMPUTED_VALUE"""),"")</f>
        <v/>
      </c>
      <c r="J851" s="26"/>
    </row>
    <row r="852" spans="7:10" ht="13.2" x14ac:dyDescent="0.25">
      <c r="G852" s="4" t="str">
        <f ca="1">IFERROR(__xludf.DUMMYFUNCTION("""COMPUTED_VALUE"""),"")</f>
        <v/>
      </c>
      <c r="J852" s="26"/>
    </row>
    <row r="853" spans="7:10" ht="13.2" x14ac:dyDescent="0.25">
      <c r="G853" s="4" t="str">
        <f ca="1">IFERROR(__xludf.DUMMYFUNCTION("""COMPUTED_VALUE"""),"")</f>
        <v/>
      </c>
      <c r="J853" s="26"/>
    </row>
    <row r="854" spans="7:10" ht="13.2" x14ac:dyDescent="0.25">
      <c r="G854" s="4" t="str">
        <f ca="1">IFERROR(__xludf.DUMMYFUNCTION("""COMPUTED_VALUE"""),"")</f>
        <v/>
      </c>
      <c r="J854" s="26"/>
    </row>
    <row r="855" spans="7:10" ht="13.2" x14ac:dyDescent="0.25">
      <c r="G855" s="4" t="str">
        <f ca="1">IFERROR(__xludf.DUMMYFUNCTION("""COMPUTED_VALUE"""),"")</f>
        <v/>
      </c>
      <c r="J855" s="26"/>
    </row>
    <row r="856" spans="7:10" ht="13.2" x14ac:dyDescent="0.25">
      <c r="G856" s="4" t="str">
        <f ca="1">IFERROR(__xludf.DUMMYFUNCTION("""COMPUTED_VALUE"""),"")</f>
        <v/>
      </c>
      <c r="J856" s="26"/>
    </row>
    <row r="857" spans="7:10" ht="13.2" x14ac:dyDescent="0.25">
      <c r="G857" s="4" t="str">
        <f ca="1">IFERROR(__xludf.DUMMYFUNCTION("""COMPUTED_VALUE"""),"")</f>
        <v/>
      </c>
      <c r="J857" s="26"/>
    </row>
    <row r="858" spans="7:10" ht="13.2" x14ac:dyDescent="0.25">
      <c r="G858" s="4" t="str">
        <f ca="1">IFERROR(__xludf.DUMMYFUNCTION("""COMPUTED_VALUE"""),"")</f>
        <v/>
      </c>
      <c r="J858" s="26"/>
    </row>
    <row r="859" spans="7:10" ht="13.2" x14ac:dyDescent="0.25">
      <c r="G859" s="4" t="str">
        <f ca="1">IFERROR(__xludf.DUMMYFUNCTION("""COMPUTED_VALUE"""),"")</f>
        <v/>
      </c>
      <c r="J859" s="26"/>
    </row>
    <row r="860" spans="7:10" ht="13.2" x14ac:dyDescent="0.25">
      <c r="G860" s="4" t="str">
        <f ca="1">IFERROR(__xludf.DUMMYFUNCTION("""COMPUTED_VALUE"""),"")</f>
        <v/>
      </c>
      <c r="J860" s="26"/>
    </row>
    <row r="861" spans="7:10" ht="13.2" x14ac:dyDescent="0.25">
      <c r="G861" s="4" t="str">
        <f ca="1">IFERROR(__xludf.DUMMYFUNCTION("""COMPUTED_VALUE"""),"")</f>
        <v/>
      </c>
      <c r="J861" s="26"/>
    </row>
    <row r="862" spans="7:10" ht="13.2" x14ac:dyDescent="0.25">
      <c r="G862" s="4" t="str">
        <f ca="1">IFERROR(__xludf.DUMMYFUNCTION("""COMPUTED_VALUE"""),"")</f>
        <v/>
      </c>
      <c r="J862" s="26"/>
    </row>
    <row r="863" spans="7:10" ht="13.2" x14ac:dyDescent="0.25">
      <c r="G863" s="4" t="str">
        <f ca="1">IFERROR(__xludf.DUMMYFUNCTION("""COMPUTED_VALUE"""),"")</f>
        <v/>
      </c>
      <c r="J863" s="26"/>
    </row>
    <row r="864" spans="7:10" ht="13.2" x14ac:dyDescent="0.25">
      <c r="G864" s="4" t="str">
        <f ca="1">IFERROR(__xludf.DUMMYFUNCTION("""COMPUTED_VALUE"""),"")</f>
        <v/>
      </c>
      <c r="J864" s="26"/>
    </row>
    <row r="865" spans="7:10" ht="13.2" x14ac:dyDescent="0.25">
      <c r="G865" s="4" t="str">
        <f ca="1">IFERROR(__xludf.DUMMYFUNCTION("""COMPUTED_VALUE"""),"")</f>
        <v/>
      </c>
      <c r="J865" s="26"/>
    </row>
    <row r="866" spans="7:10" ht="13.2" x14ac:dyDescent="0.25">
      <c r="G866" s="4" t="str">
        <f ca="1">IFERROR(__xludf.DUMMYFUNCTION("""COMPUTED_VALUE"""),"")</f>
        <v/>
      </c>
      <c r="J866" s="26"/>
    </row>
    <row r="867" spans="7:10" ht="13.2" x14ac:dyDescent="0.25">
      <c r="G867" s="4" t="str">
        <f ca="1">IFERROR(__xludf.DUMMYFUNCTION("""COMPUTED_VALUE"""),"")</f>
        <v/>
      </c>
      <c r="J867" s="26"/>
    </row>
    <row r="868" spans="7:10" ht="13.2" x14ac:dyDescent="0.25">
      <c r="G868" s="4" t="str">
        <f ca="1">IFERROR(__xludf.DUMMYFUNCTION("""COMPUTED_VALUE"""),"")</f>
        <v/>
      </c>
      <c r="J868" s="26"/>
    </row>
    <row r="869" spans="7:10" ht="13.2" x14ac:dyDescent="0.25">
      <c r="G869" s="4" t="str">
        <f ca="1">IFERROR(__xludf.DUMMYFUNCTION("""COMPUTED_VALUE"""),"")</f>
        <v/>
      </c>
      <c r="J869" s="26"/>
    </row>
    <row r="870" spans="7:10" ht="13.2" x14ac:dyDescent="0.25">
      <c r="G870" s="4" t="str">
        <f ca="1">IFERROR(__xludf.DUMMYFUNCTION("""COMPUTED_VALUE"""),"")</f>
        <v/>
      </c>
      <c r="J870" s="26"/>
    </row>
    <row r="871" spans="7:10" ht="13.2" x14ac:dyDescent="0.25">
      <c r="G871" s="4" t="str">
        <f ca="1">IFERROR(__xludf.DUMMYFUNCTION("""COMPUTED_VALUE"""),"")</f>
        <v/>
      </c>
      <c r="J871" s="26"/>
    </row>
    <row r="872" spans="7:10" ht="13.2" x14ac:dyDescent="0.25">
      <c r="G872" s="4" t="str">
        <f ca="1">IFERROR(__xludf.DUMMYFUNCTION("""COMPUTED_VALUE"""),"")</f>
        <v/>
      </c>
      <c r="J872" s="26"/>
    </row>
    <row r="873" spans="7:10" ht="13.2" x14ac:dyDescent="0.25">
      <c r="G873" s="4" t="str">
        <f ca="1">IFERROR(__xludf.DUMMYFUNCTION("""COMPUTED_VALUE"""),"")</f>
        <v/>
      </c>
      <c r="J873" s="26"/>
    </row>
    <row r="874" spans="7:10" ht="13.2" x14ac:dyDescent="0.25">
      <c r="G874" s="4" t="str">
        <f ca="1">IFERROR(__xludf.DUMMYFUNCTION("""COMPUTED_VALUE"""),"")</f>
        <v/>
      </c>
      <c r="J874" s="26"/>
    </row>
    <row r="875" spans="7:10" ht="13.2" x14ac:dyDescent="0.25">
      <c r="G875" s="4" t="str">
        <f ca="1">IFERROR(__xludf.DUMMYFUNCTION("""COMPUTED_VALUE"""),"")</f>
        <v/>
      </c>
      <c r="J875" s="26"/>
    </row>
    <row r="876" spans="7:10" ht="13.2" x14ac:dyDescent="0.25">
      <c r="G876" s="4" t="str">
        <f ca="1">IFERROR(__xludf.DUMMYFUNCTION("""COMPUTED_VALUE"""),"")</f>
        <v/>
      </c>
      <c r="J876" s="26"/>
    </row>
    <row r="877" spans="7:10" ht="13.2" x14ac:dyDescent="0.25">
      <c r="G877" s="4" t="str">
        <f ca="1">IFERROR(__xludf.DUMMYFUNCTION("""COMPUTED_VALUE"""),"")</f>
        <v/>
      </c>
      <c r="J877" s="26"/>
    </row>
    <row r="878" spans="7:10" ht="13.2" x14ac:dyDescent="0.25">
      <c r="G878" s="4" t="str">
        <f ca="1">IFERROR(__xludf.DUMMYFUNCTION("""COMPUTED_VALUE"""),"")</f>
        <v/>
      </c>
      <c r="J878" s="26"/>
    </row>
    <row r="879" spans="7:10" ht="13.2" x14ac:dyDescent="0.25">
      <c r="G879" s="4" t="str">
        <f ca="1">IFERROR(__xludf.DUMMYFUNCTION("""COMPUTED_VALUE"""),"")</f>
        <v/>
      </c>
      <c r="J879" s="26"/>
    </row>
    <row r="880" spans="7:10" ht="13.2" x14ac:dyDescent="0.25">
      <c r="G880" s="4" t="str">
        <f ca="1">IFERROR(__xludf.DUMMYFUNCTION("""COMPUTED_VALUE"""),"")</f>
        <v/>
      </c>
      <c r="J880" s="26"/>
    </row>
    <row r="881" spans="7:10" ht="13.2" x14ac:dyDescent="0.25">
      <c r="G881" s="4" t="str">
        <f ca="1">IFERROR(__xludf.DUMMYFUNCTION("""COMPUTED_VALUE"""),"")</f>
        <v/>
      </c>
      <c r="J881" s="26"/>
    </row>
    <row r="882" spans="7:10" ht="13.2" x14ac:dyDescent="0.25">
      <c r="G882" s="4" t="str">
        <f ca="1">IFERROR(__xludf.DUMMYFUNCTION("""COMPUTED_VALUE"""),"")</f>
        <v/>
      </c>
      <c r="J882" s="26"/>
    </row>
    <row r="883" spans="7:10" ht="13.2" x14ac:dyDescent="0.25">
      <c r="G883" s="4" t="str">
        <f ca="1">IFERROR(__xludf.DUMMYFUNCTION("""COMPUTED_VALUE"""),"")</f>
        <v/>
      </c>
      <c r="J883" s="26"/>
    </row>
    <row r="884" spans="7:10" ht="13.2" x14ac:dyDescent="0.25">
      <c r="G884" s="4" t="str">
        <f ca="1">IFERROR(__xludf.DUMMYFUNCTION("""COMPUTED_VALUE"""),"")</f>
        <v/>
      </c>
      <c r="J884" s="26"/>
    </row>
    <row r="885" spans="7:10" ht="13.2" x14ac:dyDescent="0.25">
      <c r="G885" s="4" t="str">
        <f ca="1">IFERROR(__xludf.DUMMYFUNCTION("""COMPUTED_VALUE"""),"")</f>
        <v/>
      </c>
      <c r="J885" s="26"/>
    </row>
    <row r="886" spans="7:10" ht="13.2" x14ac:dyDescent="0.25">
      <c r="G886" s="4" t="str">
        <f ca="1">IFERROR(__xludf.DUMMYFUNCTION("""COMPUTED_VALUE"""),"")</f>
        <v/>
      </c>
      <c r="J886" s="26"/>
    </row>
    <row r="887" spans="7:10" ht="13.2" x14ac:dyDescent="0.25">
      <c r="G887" s="4" t="str">
        <f ca="1">IFERROR(__xludf.DUMMYFUNCTION("""COMPUTED_VALUE"""),"")</f>
        <v/>
      </c>
      <c r="J887" s="26"/>
    </row>
    <row r="888" spans="7:10" ht="13.2" x14ac:dyDescent="0.25">
      <c r="G888" s="4" t="str">
        <f ca="1">IFERROR(__xludf.DUMMYFUNCTION("""COMPUTED_VALUE"""),"")</f>
        <v/>
      </c>
      <c r="J888" s="26"/>
    </row>
    <row r="889" spans="7:10" ht="13.2" x14ac:dyDescent="0.25">
      <c r="G889" s="4" t="str">
        <f ca="1">IFERROR(__xludf.DUMMYFUNCTION("""COMPUTED_VALUE"""),"")</f>
        <v/>
      </c>
      <c r="J889" s="26"/>
    </row>
    <row r="890" spans="7:10" ht="13.2" x14ac:dyDescent="0.25">
      <c r="G890" s="4" t="str">
        <f ca="1">IFERROR(__xludf.DUMMYFUNCTION("""COMPUTED_VALUE"""),"")</f>
        <v/>
      </c>
      <c r="J890" s="26"/>
    </row>
    <row r="891" spans="7:10" ht="13.2" x14ac:dyDescent="0.25">
      <c r="G891" s="4" t="str">
        <f ca="1">IFERROR(__xludf.DUMMYFUNCTION("""COMPUTED_VALUE"""),"")</f>
        <v/>
      </c>
      <c r="J891" s="26"/>
    </row>
    <row r="892" spans="7:10" ht="13.2" x14ac:dyDescent="0.25">
      <c r="G892" s="4" t="str">
        <f ca="1">IFERROR(__xludf.DUMMYFUNCTION("""COMPUTED_VALUE"""),"")</f>
        <v/>
      </c>
      <c r="J892" s="26"/>
    </row>
    <row r="893" spans="7:10" ht="13.2" x14ac:dyDescent="0.25">
      <c r="G893" s="4" t="str">
        <f ca="1">IFERROR(__xludf.DUMMYFUNCTION("""COMPUTED_VALUE"""),"")</f>
        <v/>
      </c>
      <c r="J893" s="26"/>
    </row>
    <row r="894" spans="7:10" ht="13.2" x14ac:dyDescent="0.25">
      <c r="G894" s="4" t="str">
        <f ca="1">IFERROR(__xludf.DUMMYFUNCTION("""COMPUTED_VALUE"""),"")</f>
        <v/>
      </c>
      <c r="J894" s="26"/>
    </row>
    <row r="895" spans="7:10" ht="13.2" x14ac:dyDescent="0.25">
      <c r="G895" s="4" t="str">
        <f ca="1">IFERROR(__xludf.DUMMYFUNCTION("""COMPUTED_VALUE"""),"")</f>
        <v/>
      </c>
      <c r="J895" s="26"/>
    </row>
    <row r="896" spans="7:10" ht="13.2" x14ac:dyDescent="0.25">
      <c r="G896" s="4" t="str">
        <f ca="1">IFERROR(__xludf.DUMMYFUNCTION("""COMPUTED_VALUE"""),"")</f>
        <v/>
      </c>
      <c r="J896" s="26"/>
    </row>
    <row r="897" spans="7:10" ht="13.2" x14ac:dyDescent="0.25">
      <c r="G897" s="4" t="str">
        <f ca="1">IFERROR(__xludf.DUMMYFUNCTION("""COMPUTED_VALUE"""),"")</f>
        <v/>
      </c>
      <c r="J897" s="26"/>
    </row>
    <row r="898" spans="7:10" ht="13.2" x14ac:dyDescent="0.25">
      <c r="G898" s="4" t="str">
        <f ca="1">IFERROR(__xludf.DUMMYFUNCTION("""COMPUTED_VALUE"""),"")</f>
        <v/>
      </c>
      <c r="J898" s="26"/>
    </row>
    <row r="899" spans="7:10" ht="13.2" x14ac:dyDescent="0.25">
      <c r="G899" s="4" t="str">
        <f ca="1">IFERROR(__xludf.DUMMYFUNCTION("""COMPUTED_VALUE"""),"")</f>
        <v/>
      </c>
      <c r="J899" s="26"/>
    </row>
    <row r="900" spans="7:10" ht="13.2" x14ac:dyDescent="0.25">
      <c r="G900" s="4" t="str">
        <f ca="1">IFERROR(__xludf.DUMMYFUNCTION("""COMPUTED_VALUE"""),"")</f>
        <v/>
      </c>
      <c r="J900" s="26"/>
    </row>
    <row r="901" spans="7:10" ht="13.2" x14ac:dyDescent="0.25">
      <c r="G901" s="4" t="str">
        <f ca="1">IFERROR(__xludf.DUMMYFUNCTION("""COMPUTED_VALUE"""),"")</f>
        <v/>
      </c>
      <c r="J901" s="26"/>
    </row>
    <row r="902" spans="7:10" ht="13.2" x14ac:dyDescent="0.25">
      <c r="G902" s="4" t="str">
        <f ca="1">IFERROR(__xludf.DUMMYFUNCTION("""COMPUTED_VALUE"""),"")</f>
        <v/>
      </c>
      <c r="J902" s="26"/>
    </row>
    <row r="903" spans="7:10" ht="13.2" x14ac:dyDescent="0.25">
      <c r="G903" s="4" t="str">
        <f ca="1">IFERROR(__xludf.DUMMYFUNCTION("""COMPUTED_VALUE"""),"")</f>
        <v/>
      </c>
      <c r="J903" s="26"/>
    </row>
    <row r="904" spans="7:10" ht="13.2" x14ac:dyDescent="0.25">
      <c r="G904" s="4" t="str">
        <f ca="1">IFERROR(__xludf.DUMMYFUNCTION("""COMPUTED_VALUE"""),"")</f>
        <v/>
      </c>
      <c r="J904" s="26"/>
    </row>
    <row r="905" spans="7:10" ht="13.2" x14ac:dyDescent="0.25">
      <c r="G905" s="4" t="str">
        <f ca="1">IFERROR(__xludf.DUMMYFUNCTION("""COMPUTED_VALUE"""),"")</f>
        <v/>
      </c>
      <c r="J905" s="26"/>
    </row>
    <row r="906" spans="7:10" ht="13.2" x14ac:dyDescent="0.25">
      <c r="G906" s="4" t="str">
        <f ca="1">IFERROR(__xludf.DUMMYFUNCTION("""COMPUTED_VALUE"""),"")</f>
        <v/>
      </c>
      <c r="J906" s="26"/>
    </row>
    <row r="907" spans="7:10" ht="13.2" x14ac:dyDescent="0.25">
      <c r="G907" s="4" t="str">
        <f ca="1">IFERROR(__xludf.DUMMYFUNCTION("""COMPUTED_VALUE"""),"")</f>
        <v/>
      </c>
      <c r="J907" s="26"/>
    </row>
    <row r="908" spans="7:10" ht="13.2" x14ac:dyDescent="0.25">
      <c r="G908" s="4" t="str">
        <f ca="1">IFERROR(__xludf.DUMMYFUNCTION("""COMPUTED_VALUE"""),"")</f>
        <v/>
      </c>
      <c r="J908" s="26"/>
    </row>
    <row r="909" spans="7:10" ht="13.2" x14ac:dyDescent="0.25">
      <c r="G909" s="4" t="str">
        <f ca="1">IFERROR(__xludf.DUMMYFUNCTION("""COMPUTED_VALUE"""),"")</f>
        <v/>
      </c>
      <c r="J909" s="26"/>
    </row>
    <row r="910" spans="7:10" ht="13.2" x14ac:dyDescent="0.25">
      <c r="G910" s="4" t="str">
        <f ca="1">IFERROR(__xludf.DUMMYFUNCTION("""COMPUTED_VALUE"""),"")</f>
        <v/>
      </c>
      <c r="J910" s="26"/>
    </row>
    <row r="911" spans="7:10" ht="13.2" x14ac:dyDescent="0.25">
      <c r="G911" s="4" t="str">
        <f ca="1">IFERROR(__xludf.DUMMYFUNCTION("""COMPUTED_VALUE"""),"")</f>
        <v/>
      </c>
      <c r="J911" s="26"/>
    </row>
    <row r="912" spans="7:10" ht="13.2" x14ac:dyDescent="0.25">
      <c r="G912" s="4" t="str">
        <f ca="1">IFERROR(__xludf.DUMMYFUNCTION("""COMPUTED_VALUE"""),"")</f>
        <v/>
      </c>
      <c r="J912" s="26"/>
    </row>
    <row r="913" spans="7:10" ht="13.2" x14ac:dyDescent="0.25">
      <c r="G913" s="4" t="str">
        <f ca="1">IFERROR(__xludf.DUMMYFUNCTION("""COMPUTED_VALUE"""),"")</f>
        <v/>
      </c>
      <c r="J913" s="26"/>
    </row>
    <row r="914" spans="7:10" ht="13.2" x14ac:dyDescent="0.25">
      <c r="G914" s="4" t="str">
        <f ca="1">IFERROR(__xludf.DUMMYFUNCTION("""COMPUTED_VALUE"""),"")</f>
        <v/>
      </c>
      <c r="J914" s="26"/>
    </row>
    <row r="915" spans="7:10" ht="13.2" x14ac:dyDescent="0.25">
      <c r="G915" s="4" t="str">
        <f ca="1">IFERROR(__xludf.DUMMYFUNCTION("""COMPUTED_VALUE"""),"")</f>
        <v/>
      </c>
      <c r="J915" s="26"/>
    </row>
    <row r="916" spans="7:10" ht="13.2" x14ac:dyDescent="0.25">
      <c r="G916" s="4" t="str">
        <f ca="1">IFERROR(__xludf.DUMMYFUNCTION("""COMPUTED_VALUE"""),"")</f>
        <v/>
      </c>
      <c r="J916" s="26"/>
    </row>
    <row r="917" spans="7:10" ht="13.2" x14ac:dyDescent="0.25">
      <c r="G917" s="4" t="str">
        <f ca="1">IFERROR(__xludf.DUMMYFUNCTION("""COMPUTED_VALUE"""),"")</f>
        <v/>
      </c>
      <c r="J917" s="26"/>
    </row>
    <row r="918" spans="7:10" ht="13.2" x14ac:dyDescent="0.25">
      <c r="G918" s="4" t="str">
        <f ca="1">IFERROR(__xludf.DUMMYFUNCTION("""COMPUTED_VALUE"""),"")</f>
        <v/>
      </c>
      <c r="J918" s="26"/>
    </row>
    <row r="919" spans="7:10" ht="13.2" x14ac:dyDescent="0.25">
      <c r="G919" s="4" t="str">
        <f ca="1">IFERROR(__xludf.DUMMYFUNCTION("""COMPUTED_VALUE"""),"")</f>
        <v/>
      </c>
      <c r="J919" s="26"/>
    </row>
    <row r="920" spans="7:10" ht="13.2" x14ac:dyDescent="0.25">
      <c r="G920" s="4" t="str">
        <f ca="1">IFERROR(__xludf.DUMMYFUNCTION("""COMPUTED_VALUE"""),"")</f>
        <v/>
      </c>
      <c r="J920" s="26"/>
    </row>
    <row r="921" spans="7:10" ht="13.2" x14ac:dyDescent="0.25">
      <c r="G921" s="4" t="str">
        <f ca="1">IFERROR(__xludf.DUMMYFUNCTION("""COMPUTED_VALUE"""),"")</f>
        <v/>
      </c>
      <c r="J921" s="26"/>
    </row>
    <row r="922" spans="7:10" ht="13.2" x14ac:dyDescent="0.25">
      <c r="G922" s="4" t="str">
        <f ca="1">IFERROR(__xludf.DUMMYFUNCTION("""COMPUTED_VALUE"""),"")</f>
        <v/>
      </c>
      <c r="J922" s="26"/>
    </row>
    <row r="923" spans="7:10" ht="13.2" x14ac:dyDescent="0.25">
      <c r="G923" s="4" t="str">
        <f ca="1">IFERROR(__xludf.DUMMYFUNCTION("""COMPUTED_VALUE"""),"")</f>
        <v/>
      </c>
      <c r="J923" s="26"/>
    </row>
    <row r="924" spans="7:10" ht="13.2" x14ac:dyDescent="0.25">
      <c r="G924" s="4" t="str">
        <f ca="1">IFERROR(__xludf.DUMMYFUNCTION("""COMPUTED_VALUE"""),"")</f>
        <v/>
      </c>
      <c r="J924" s="26"/>
    </row>
    <row r="925" spans="7:10" ht="13.2" x14ac:dyDescent="0.25">
      <c r="G925" s="4" t="str">
        <f ca="1">IFERROR(__xludf.DUMMYFUNCTION("""COMPUTED_VALUE"""),"")</f>
        <v/>
      </c>
      <c r="J925" s="26"/>
    </row>
    <row r="926" spans="7:10" ht="13.2" x14ac:dyDescent="0.25">
      <c r="G926" s="4" t="str">
        <f ca="1">IFERROR(__xludf.DUMMYFUNCTION("""COMPUTED_VALUE"""),"")</f>
        <v/>
      </c>
      <c r="J926" s="26"/>
    </row>
    <row r="927" spans="7:10" ht="13.2" x14ac:dyDescent="0.25">
      <c r="G927" s="4" t="str">
        <f ca="1">IFERROR(__xludf.DUMMYFUNCTION("""COMPUTED_VALUE"""),"")</f>
        <v/>
      </c>
      <c r="J927" s="26"/>
    </row>
    <row r="928" spans="7:10" ht="13.2" x14ac:dyDescent="0.25">
      <c r="G928" s="4" t="str">
        <f ca="1">IFERROR(__xludf.DUMMYFUNCTION("""COMPUTED_VALUE"""),"")</f>
        <v/>
      </c>
      <c r="J928" s="26"/>
    </row>
    <row r="929" spans="7:10" ht="13.2" x14ac:dyDescent="0.25">
      <c r="G929" s="4" t="str">
        <f ca="1">IFERROR(__xludf.DUMMYFUNCTION("""COMPUTED_VALUE"""),"")</f>
        <v/>
      </c>
      <c r="J929" s="26"/>
    </row>
    <row r="930" spans="7:10" ht="13.2" x14ac:dyDescent="0.25">
      <c r="G930" s="4" t="str">
        <f ca="1">IFERROR(__xludf.DUMMYFUNCTION("""COMPUTED_VALUE"""),"")</f>
        <v/>
      </c>
      <c r="J930" s="26"/>
    </row>
    <row r="931" spans="7:10" ht="13.2" x14ac:dyDescent="0.25">
      <c r="G931" s="4" t="str">
        <f ca="1">IFERROR(__xludf.DUMMYFUNCTION("""COMPUTED_VALUE"""),"")</f>
        <v/>
      </c>
      <c r="J931" s="26"/>
    </row>
    <row r="932" spans="7:10" ht="13.2" x14ac:dyDescent="0.25">
      <c r="G932" s="4" t="str">
        <f ca="1">IFERROR(__xludf.DUMMYFUNCTION("""COMPUTED_VALUE"""),"")</f>
        <v/>
      </c>
      <c r="J932" s="26"/>
    </row>
    <row r="933" spans="7:10" ht="13.2" x14ac:dyDescent="0.25">
      <c r="G933" s="4" t="str">
        <f ca="1">IFERROR(__xludf.DUMMYFUNCTION("""COMPUTED_VALUE"""),"")</f>
        <v/>
      </c>
      <c r="J933" s="26"/>
    </row>
    <row r="934" spans="7:10" ht="13.2" x14ac:dyDescent="0.25">
      <c r="G934" s="4" t="str">
        <f ca="1">IFERROR(__xludf.DUMMYFUNCTION("""COMPUTED_VALUE"""),"")</f>
        <v/>
      </c>
      <c r="J934" s="26"/>
    </row>
    <row r="935" spans="7:10" ht="13.2" x14ac:dyDescent="0.25">
      <c r="G935" s="4" t="str">
        <f ca="1">IFERROR(__xludf.DUMMYFUNCTION("""COMPUTED_VALUE"""),"")</f>
        <v/>
      </c>
      <c r="J935" s="26"/>
    </row>
    <row r="936" spans="7:10" ht="13.2" x14ac:dyDescent="0.25">
      <c r="G936" s="4" t="str">
        <f ca="1">IFERROR(__xludf.DUMMYFUNCTION("""COMPUTED_VALUE"""),"")</f>
        <v/>
      </c>
      <c r="J936" s="26"/>
    </row>
    <row r="937" spans="7:10" ht="13.2" x14ac:dyDescent="0.25">
      <c r="G937" s="4" t="str">
        <f ca="1">IFERROR(__xludf.DUMMYFUNCTION("""COMPUTED_VALUE"""),"")</f>
        <v/>
      </c>
      <c r="J937" s="26"/>
    </row>
    <row r="938" spans="7:10" ht="13.2" x14ac:dyDescent="0.25">
      <c r="G938" s="4" t="str">
        <f ca="1">IFERROR(__xludf.DUMMYFUNCTION("""COMPUTED_VALUE"""),"")</f>
        <v/>
      </c>
      <c r="J938" s="26"/>
    </row>
    <row r="939" spans="7:10" ht="13.2" x14ac:dyDescent="0.25">
      <c r="G939" s="4" t="str">
        <f ca="1">IFERROR(__xludf.DUMMYFUNCTION("""COMPUTED_VALUE"""),"")</f>
        <v/>
      </c>
      <c r="J939" s="26"/>
    </row>
    <row r="940" spans="7:10" ht="13.2" x14ac:dyDescent="0.25">
      <c r="G940" s="4" t="str">
        <f ca="1">IFERROR(__xludf.DUMMYFUNCTION("""COMPUTED_VALUE"""),"")</f>
        <v/>
      </c>
      <c r="J940" s="26"/>
    </row>
    <row r="941" spans="7:10" ht="13.2" x14ac:dyDescent="0.25">
      <c r="G941" s="4" t="str">
        <f ca="1">IFERROR(__xludf.DUMMYFUNCTION("""COMPUTED_VALUE"""),"")</f>
        <v/>
      </c>
      <c r="J941" s="26"/>
    </row>
    <row r="942" spans="7:10" ht="13.2" x14ac:dyDescent="0.25">
      <c r="G942" s="4" t="str">
        <f ca="1">IFERROR(__xludf.DUMMYFUNCTION("""COMPUTED_VALUE"""),"")</f>
        <v/>
      </c>
      <c r="J942" s="26"/>
    </row>
    <row r="943" spans="7:10" ht="13.2" x14ac:dyDescent="0.25">
      <c r="G943" s="4" t="str">
        <f ca="1">IFERROR(__xludf.DUMMYFUNCTION("""COMPUTED_VALUE"""),"")</f>
        <v/>
      </c>
      <c r="J943" s="26"/>
    </row>
    <row r="944" spans="7:10" ht="13.2" x14ac:dyDescent="0.25">
      <c r="G944" s="4" t="str">
        <f ca="1">IFERROR(__xludf.DUMMYFUNCTION("""COMPUTED_VALUE"""),"")</f>
        <v/>
      </c>
      <c r="J944" s="26"/>
    </row>
    <row r="945" spans="7:10" ht="13.2" x14ac:dyDescent="0.25">
      <c r="G945" s="4" t="str">
        <f ca="1">IFERROR(__xludf.DUMMYFUNCTION("""COMPUTED_VALUE"""),"")</f>
        <v/>
      </c>
      <c r="J945" s="26"/>
    </row>
    <row r="946" spans="7:10" ht="13.2" x14ac:dyDescent="0.25">
      <c r="G946" s="4" t="str">
        <f ca="1">IFERROR(__xludf.DUMMYFUNCTION("""COMPUTED_VALUE"""),"")</f>
        <v/>
      </c>
      <c r="J946" s="26"/>
    </row>
    <row r="947" spans="7:10" ht="13.2" x14ac:dyDescent="0.25">
      <c r="G947" s="4" t="str">
        <f ca="1">IFERROR(__xludf.DUMMYFUNCTION("""COMPUTED_VALUE"""),"")</f>
        <v/>
      </c>
      <c r="J947" s="26"/>
    </row>
    <row r="948" spans="7:10" ht="13.2" x14ac:dyDescent="0.25">
      <c r="G948" s="4" t="str">
        <f ca="1">IFERROR(__xludf.DUMMYFUNCTION("""COMPUTED_VALUE"""),"")</f>
        <v/>
      </c>
      <c r="J948" s="26"/>
    </row>
    <row r="949" spans="7:10" ht="13.2" x14ac:dyDescent="0.25">
      <c r="G949" s="4" t="str">
        <f ca="1">IFERROR(__xludf.DUMMYFUNCTION("""COMPUTED_VALUE"""),"")</f>
        <v/>
      </c>
      <c r="J949" s="26"/>
    </row>
    <row r="950" spans="7:10" ht="13.2" x14ac:dyDescent="0.25">
      <c r="G950" s="4" t="str">
        <f ca="1">IFERROR(__xludf.DUMMYFUNCTION("""COMPUTED_VALUE"""),"")</f>
        <v/>
      </c>
      <c r="J950" s="26"/>
    </row>
    <row r="951" spans="7:10" ht="13.2" x14ac:dyDescent="0.25">
      <c r="G951" s="4" t="str">
        <f ca="1">IFERROR(__xludf.DUMMYFUNCTION("""COMPUTED_VALUE"""),"")</f>
        <v/>
      </c>
      <c r="J951" s="26"/>
    </row>
    <row r="952" spans="7:10" ht="13.2" x14ac:dyDescent="0.25">
      <c r="G952" s="4" t="str">
        <f ca="1">IFERROR(__xludf.DUMMYFUNCTION("""COMPUTED_VALUE"""),"")</f>
        <v/>
      </c>
      <c r="J952" s="26"/>
    </row>
    <row r="953" spans="7:10" ht="13.2" x14ac:dyDescent="0.25">
      <c r="G953" s="4" t="str">
        <f ca="1">IFERROR(__xludf.DUMMYFUNCTION("""COMPUTED_VALUE"""),"")</f>
        <v/>
      </c>
      <c r="J953" s="26"/>
    </row>
    <row r="954" spans="7:10" ht="13.2" x14ac:dyDescent="0.25">
      <c r="G954" s="4" t="str">
        <f ca="1">IFERROR(__xludf.DUMMYFUNCTION("""COMPUTED_VALUE"""),"")</f>
        <v/>
      </c>
      <c r="J954" s="26"/>
    </row>
    <row r="955" spans="7:10" ht="13.2" x14ac:dyDescent="0.25">
      <c r="G955" s="4" t="str">
        <f ca="1">IFERROR(__xludf.DUMMYFUNCTION("""COMPUTED_VALUE"""),"")</f>
        <v/>
      </c>
      <c r="J955" s="26"/>
    </row>
    <row r="956" spans="7:10" ht="13.2" x14ac:dyDescent="0.25">
      <c r="G956" s="4" t="str">
        <f ca="1">IFERROR(__xludf.DUMMYFUNCTION("""COMPUTED_VALUE"""),"")</f>
        <v/>
      </c>
      <c r="J956" s="26"/>
    </row>
    <row r="957" spans="7:10" ht="13.2" x14ac:dyDescent="0.25">
      <c r="G957" s="4" t="str">
        <f ca="1">IFERROR(__xludf.DUMMYFUNCTION("""COMPUTED_VALUE"""),"")</f>
        <v/>
      </c>
      <c r="J957" s="26"/>
    </row>
    <row r="958" spans="7:10" ht="13.2" x14ac:dyDescent="0.25">
      <c r="G958" s="4" t="str">
        <f ca="1">IFERROR(__xludf.DUMMYFUNCTION("""COMPUTED_VALUE"""),"")</f>
        <v/>
      </c>
      <c r="J958" s="26"/>
    </row>
    <row r="959" spans="7:10" ht="13.2" x14ac:dyDescent="0.25">
      <c r="G959" s="4" t="str">
        <f ca="1">IFERROR(__xludf.DUMMYFUNCTION("""COMPUTED_VALUE"""),"")</f>
        <v/>
      </c>
      <c r="J959" s="26"/>
    </row>
    <row r="960" spans="7:10" ht="13.2" x14ac:dyDescent="0.25">
      <c r="G960" s="4" t="str">
        <f ca="1">IFERROR(__xludf.DUMMYFUNCTION("""COMPUTED_VALUE"""),"")</f>
        <v/>
      </c>
      <c r="J960" s="26"/>
    </row>
    <row r="961" spans="7:10" ht="13.2" x14ac:dyDescent="0.25">
      <c r="G961" s="4" t="str">
        <f ca="1">IFERROR(__xludf.DUMMYFUNCTION("""COMPUTED_VALUE"""),"")</f>
        <v/>
      </c>
      <c r="J961" s="26"/>
    </row>
    <row r="962" spans="7:10" ht="13.2" x14ac:dyDescent="0.25">
      <c r="G962" s="4" t="str">
        <f ca="1">IFERROR(__xludf.DUMMYFUNCTION("""COMPUTED_VALUE"""),"")</f>
        <v/>
      </c>
      <c r="J962" s="26"/>
    </row>
    <row r="963" spans="7:10" ht="13.2" x14ac:dyDescent="0.25">
      <c r="G963" s="4" t="str">
        <f ca="1">IFERROR(__xludf.DUMMYFUNCTION("""COMPUTED_VALUE"""),"")</f>
        <v/>
      </c>
      <c r="J963" s="26"/>
    </row>
    <row r="964" spans="7:10" ht="13.2" x14ac:dyDescent="0.25">
      <c r="G964" s="4" t="str">
        <f ca="1">IFERROR(__xludf.DUMMYFUNCTION("""COMPUTED_VALUE"""),"")</f>
        <v/>
      </c>
      <c r="J964" s="26"/>
    </row>
    <row r="965" spans="7:10" ht="13.2" x14ac:dyDescent="0.25">
      <c r="G965" s="4" t="str">
        <f ca="1">IFERROR(__xludf.DUMMYFUNCTION("""COMPUTED_VALUE"""),"")</f>
        <v/>
      </c>
      <c r="J965" s="26"/>
    </row>
    <row r="966" spans="7:10" ht="13.2" x14ac:dyDescent="0.25">
      <c r="G966" s="4" t="str">
        <f ca="1">IFERROR(__xludf.DUMMYFUNCTION("""COMPUTED_VALUE"""),"")</f>
        <v/>
      </c>
      <c r="J966" s="26"/>
    </row>
    <row r="967" spans="7:10" ht="13.2" x14ac:dyDescent="0.25">
      <c r="G967" s="4" t="str">
        <f ca="1">IFERROR(__xludf.DUMMYFUNCTION("""COMPUTED_VALUE"""),"")</f>
        <v/>
      </c>
      <c r="J967" s="26"/>
    </row>
    <row r="968" spans="7:10" ht="13.2" x14ac:dyDescent="0.25">
      <c r="G968" s="4" t="str">
        <f ca="1">IFERROR(__xludf.DUMMYFUNCTION("""COMPUTED_VALUE"""),"")</f>
        <v/>
      </c>
      <c r="J968" s="26"/>
    </row>
    <row r="969" spans="7:10" ht="13.2" x14ac:dyDescent="0.25">
      <c r="G969" s="4" t="str">
        <f ca="1">IFERROR(__xludf.DUMMYFUNCTION("""COMPUTED_VALUE"""),"")</f>
        <v/>
      </c>
      <c r="J969" s="26"/>
    </row>
    <row r="970" spans="7:10" ht="13.2" x14ac:dyDescent="0.25">
      <c r="G970" s="4" t="str">
        <f ca="1">IFERROR(__xludf.DUMMYFUNCTION("""COMPUTED_VALUE"""),"")</f>
        <v/>
      </c>
      <c r="J970" s="26"/>
    </row>
    <row r="971" spans="7:10" ht="13.2" x14ac:dyDescent="0.25">
      <c r="G971" s="4" t="str">
        <f ca="1">IFERROR(__xludf.DUMMYFUNCTION("""COMPUTED_VALUE"""),"")</f>
        <v/>
      </c>
      <c r="J971" s="26"/>
    </row>
    <row r="972" spans="7:10" ht="13.2" x14ac:dyDescent="0.25">
      <c r="G972" s="4" t="str">
        <f ca="1">IFERROR(__xludf.DUMMYFUNCTION("""COMPUTED_VALUE"""),"")</f>
        <v/>
      </c>
      <c r="J972" s="26"/>
    </row>
    <row r="973" spans="7:10" ht="13.2" x14ac:dyDescent="0.25">
      <c r="G973" s="4" t="str">
        <f ca="1">IFERROR(__xludf.DUMMYFUNCTION("""COMPUTED_VALUE"""),"")</f>
        <v/>
      </c>
      <c r="J973" s="26"/>
    </row>
    <row r="974" spans="7:10" ht="13.2" x14ac:dyDescent="0.25">
      <c r="G974" s="4" t="str">
        <f ca="1">IFERROR(__xludf.DUMMYFUNCTION("""COMPUTED_VALUE"""),"")</f>
        <v/>
      </c>
      <c r="J974" s="26"/>
    </row>
    <row r="975" spans="7:10" ht="13.2" x14ac:dyDescent="0.25">
      <c r="G975" s="4" t="str">
        <f ca="1">IFERROR(__xludf.DUMMYFUNCTION("""COMPUTED_VALUE"""),"")</f>
        <v/>
      </c>
      <c r="J975" s="26"/>
    </row>
    <row r="976" spans="7:10" ht="13.2" x14ac:dyDescent="0.25">
      <c r="G976" s="4" t="str">
        <f ca="1">IFERROR(__xludf.DUMMYFUNCTION("""COMPUTED_VALUE"""),"")</f>
        <v/>
      </c>
      <c r="J976" s="26"/>
    </row>
    <row r="977" spans="7:10" ht="13.2" x14ac:dyDescent="0.25">
      <c r="G977" s="4" t="str">
        <f ca="1">IFERROR(__xludf.DUMMYFUNCTION("""COMPUTED_VALUE"""),"")</f>
        <v/>
      </c>
      <c r="J977" s="26"/>
    </row>
    <row r="978" spans="7:10" ht="13.2" x14ac:dyDescent="0.25">
      <c r="G978" s="4" t="str">
        <f ca="1">IFERROR(__xludf.DUMMYFUNCTION("""COMPUTED_VALUE"""),"")</f>
        <v/>
      </c>
      <c r="J978" s="26"/>
    </row>
    <row r="979" spans="7:10" ht="13.2" x14ac:dyDescent="0.25">
      <c r="G979" s="4" t="str">
        <f ca="1">IFERROR(__xludf.DUMMYFUNCTION("""COMPUTED_VALUE"""),"")</f>
        <v/>
      </c>
      <c r="J979" s="26"/>
    </row>
    <row r="980" spans="7:10" ht="13.2" x14ac:dyDescent="0.25">
      <c r="G980" s="4" t="str">
        <f ca="1">IFERROR(__xludf.DUMMYFUNCTION("""COMPUTED_VALUE"""),"")</f>
        <v/>
      </c>
      <c r="J980" s="26"/>
    </row>
    <row r="981" spans="7:10" ht="13.2" x14ac:dyDescent="0.25">
      <c r="G981" s="4" t="str">
        <f ca="1">IFERROR(__xludf.DUMMYFUNCTION("""COMPUTED_VALUE"""),"")</f>
        <v/>
      </c>
      <c r="J981" s="26"/>
    </row>
    <row r="982" spans="7:10" ht="13.2" x14ac:dyDescent="0.25">
      <c r="G982" s="4" t="str">
        <f ca="1">IFERROR(__xludf.DUMMYFUNCTION("""COMPUTED_VALUE"""),"")</f>
        <v/>
      </c>
      <c r="J982" s="26"/>
    </row>
    <row r="983" spans="7:10" ht="13.2" x14ac:dyDescent="0.25">
      <c r="G983" s="4" t="str">
        <f ca="1">IFERROR(__xludf.DUMMYFUNCTION("""COMPUTED_VALUE"""),"")</f>
        <v/>
      </c>
      <c r="J983" s="26"/>
    </row>
    <row r="984" spans="7:10" ht="13.2" x14ac:dyDescent="0.25">
      <c r="G984" s="4" t="str">
        <f ca="1">IFERROR(__xludf.DUMMYFUNCTION("""COMPUTED_VALUE"""),"")</f>
        <v/>
      </c>
      <c r="J984" s="26"/>
    </row>
    <row r="985" spans="7:10" ht="13.2" x14ac:dyDescent="0.25">
      <c r="G985" s="4" t="str">
        <f ca="1">IFERROR(__xludf.DUMMYFUNCTION("""COMPUTED_VALUE"""),"")</f>
        <v/>
      </c>
      <c r="J985" s="26"/>
    </row>
    <row r="986" spans="7:10" ht="13.2" x14ac:dyDescent="0.25">
      <c r="G986" s="4" t="str">
        <f ca="1">IFERROR(__xludf.DUMMYFUNCTION("""COMPUTED_VALUE"""),"")</f>
        <v/>
      </c>
      <c r="J986" s="26"/>
    </row>
    <row r="987" spans="7:10" ht="13.2" x14ac:dyDescent="0.25">
      <c r="G987" s="4" t="str">
        <f ca="1">IFERROR(__xludf.DUMMYFUNCTION("""COMPUTED_VALUE"""),"")</f>
        <v/>
      </c>
      <c r="J987" s="26"/>
    </row>
    <row r="988" spans="7:10" ht="13.2" x14ac:dyDescent="0.25">
      <c r="G988" s="4" t="str">
        <f ca="1">IFERROR(__xludf.DUMMYFUNCTION("""COMPUTED_VALUE"""),"")</f>
        <v/>
      </c>
      <c r="J988" s="26"/>
    </row>
    <row r="989" spans="7:10" ht="13.2" x14ac:dyDescent="0.25">
      <c r="G989" s="4" t="str">
        <f ca="1">IFERROR(__xludf.DUMMYFUNCTION("""COMPUTED_VALUE"""),"")</f>
        <v/>
      </c>
      <c r="J989" s="26"/>
    </row>
    <row r="990" spans="7:10" ht="13.2" x14ac:dyDescent="0.25">
      <c r="G990" s="4" t="str">
        <f ca="1">IFERROR(__xludf.DUMMYFUNCTION("""COMPUTED_VALUE"""),"")</f>
        <v/>
      </c>
      <c r="J990" s="26"/>
    </row>
    <row r="991" spans="7:10" ht="13.2" x14ac:dyDescent="0.25">
      <c r="G991" s="4" t="str">
        <f ca="1">IFERROR(__xludf.DUMMYFUNCTION("""COMPUTED_VALUE"""),"")</f>
        <v/>
      </c>
      <c r="J991" s="26"/>
    </row>
    <row r="992" spans="7:10" ht="13.2" x14ac:dyDescent="0.25">
      <c r="G992" s="4" t="str">
        <f ca="1">IFERROR(__xludf.DUMMYFUNCTION("""COMPUTED_VALUE"""),"")</f>
        <v/>
      </c>
      <c r="J992" s="26"/>
    </row>
    <row r="993" spans="7:10" ht="13.2" x14ac:dyDescent="0.25">
      <c r="G993" s="4" t="str">
        <f ca="1">IFERROR(__xludf.DUMMYFUNCTION("""COMPUTED_VALUE"""),"")</f>
        <v/>
      </c>
      <c r="J993" s="26"/>
    </row>
    <row r="994" spans="7:10" ht="13.2" x14ac:dyDescent="0.25">
      <c r="G994" s="4" t="str">
        <f ca="1">IFERROR(__xludf.DUMMYFUNCTION("""COMPUTED_VALUE"""),"")</f>
        <v/>
      </c>
      <c r="J994" s="26"/>
    </row>
    <row r="995" spans="7:10" ht="13.2" x14ac:dyDescent="0.25">
      <c r="G995" s="4" t="str">
        <f ca="1">IFERROR(__xludf.DUMMYFUNCTION("""COMPUTED_VALUE"""),"")</f>
        <v/>
      </c>
      <c r="J995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4"/>
  <sheetViews>
    <sheetView workbookViewId="0"/>
  </sheetViews>
  <sheetFormatPr baseColWidth="10" defaultColWidth="12.6640625" defaultRowHeight="15.75" customHeight="1" x14ac:dyDescent="0.25"/>
  <cols>
    <col min="2" max="2" width="25.88671875" customWidth="1"/>
  </cols>
  <sheetData>
    <row r="1" spans="1:7" x14ac:dyDescent="0.25">
      <c r="A1" s="3" t="s">
        <v>71</v>
      </c>
      <c r="B1" s="3" t="s">
        <v>72</v>
      </c>
      <c r="C1" s="3" t="s">
        <v>476</v>
      </c>
      <c r="D1" s="3" t="s">
        <v>477</v>
      </c>
      <c r="E1" s="3" t="s">
        <v>478</v>
      </c>
      <c r="F1" s="3" t="s">
        <v>479</v>
      </c>
      <c r="G1" s="3" t="s">
        <v>480</v>
      </c>
    </row>
    <row r="2" spans="1:7" x14ac:dyDescent="0.25">
      <c r="A2" s="4">
        <v>98501</v>
      </c>
      <c r="B2" s="3" t="s">
        <v>118</v>
      </c>
      <c r="C2" s="3" t="s">
        <v>481</v>
      </c>
      <c r="D2" s="27">
        <v>46169</v>
      </c>
      <c r="E2" s="28">
        <v>0.39583333333333331</v>
      </c>
      <c r="F2" s="27">
        <v>46170</v>
      </c>
      <c r="G2" s="28">
        <v>0.25</v>
      </c>
    </row>
    <row r="3" spans="1:7" x14ac:dyDescent="0.25">
      <c r="A3" s="4">
        <v>11741</v>
      </c>
      <c r="B3" s="3" t="s">
        <v>86</v>
      </c>
      <c r="C3" s="3" t="s">
        <v>482</v>
      </c>
      <c r="D3" s="27">
        <v>46169</v>
      </c>
      <c r="E3" s="28">
        <v>0.35069444444444442</v>
      </c>
      <c r="F3" s="27">
        <v>46169</v>
      </c>
      <c r="G3" s="28">
        <v>0.58333333333333337</v>
      </c>
    </row>
    <row r="4" spans="1:7" x14ac:dyDescent="0.25">
      <c r="A4" s="4">
        <v>98486</v>
      </c>
      <c r="B4" s="3" t="s">
        <v>393</v>
      </c>
      <c r="C4" s="3" t="s">
        <v>483</v>
      </c>
      <c r="D4" s="27">
        <v>46169</v>
      </c>
      <c r="E4" s="28">
        <v>0.25</v>
      </c>
      <c r="F4" s="27">
        <v>46183</v>
      </c>
      <c r="G4" s="28">
        <v>0.25</v>
      </c>
    </row>
    <row r="5" spans="1:7" x14ac:dyDescent="0.25">
      <c r="A5" s="4">
        <v>98981</v>
      </c>
      <c r="B5" s="3" t="s">
        <v>130</v>
      </c>
      <c r="C5" s="3" t="s">
        <v>484</v>
      </c>
      <c r="D5" s="27">
        <v>46169</v>
      </c>
      <c r="E5" s="28">
        <v>0.25</v>
      </c>
      <c r="F5" s="27">
        <v>46182</v>
      </c>
      <c r="G5" s="28">
        <v>0.25</v>
      </c>
    </row>
    <row r="6" spans="1:7" x14ac:dyDescent="0.25">
      <c r="A6" s="4">
        <v>98258</v>
      </c>
      <c r="B6" s="3" t="s">
        <v>306</v>
      </c>
      <c r="C6" s="3" t="s">
        <v>485</v>
      </c>
      <c r="D6" s="27">
        <v>46170</v>
      </c>
      <c r="E6" s="28">
        <v>0.33333333333333331</v>
      </c>
      <c r="F6" s="27">
        <v>46170</v>
      </c>
      <c r="G6" s="29"/>
    </row>
    <row r="7" spans="1:7" x14ac:dyDescent="0.25">
      <c r="A7" s="4">
        <v>98496</v>
      </c>
      <c r="B7" s="3" t="s">
        <v>115</v>
      </c>
      <c r="C7" s="3" t="s">
        <v>483</v>
      </c>
      <c r="D7" s="27">
        <v>46163</v>
      </c>
      <c r="E7" s="28">
        <v>0.25</v>
      </c>
      <c r="F7" s="27">
        <v>46174</v>
      </c>
      <c r="G7" s="28">
        <v>0.54166666666666663</v>
      </c>
    </row>
    <row r="8" spans="1:7" x14ac:dyDescent="0.25">
      <c r="A8" s="4">
        <v>98477</v>
      </c>
      <c r="B8" s="3" t="s">
        <v>112</v>
      </c>
      <c r="C8" s="3" t="s">
        <v>483</v>
      </c>
      <c r="D8" s="27">
        <v>46164</v>
      </c>
      <c r="E8" s="28">
        <v>0.25</v>
      </c>
      <c r="F8" s="27">
        <v>46174</v>
      </c>
      <c r="G8" s="28">
        <v>0.25</v>
      </c>
    </row>
    <row r="9" spans="1:7" x14ac:dyDescent="0.25">
      <c r="A9" s="4">
        <v>98368</v>
      </c>
      <c r="B9" s="3" t="s">
        <v>291</v>
      </c>
      <c r="C9" s="3" t="s">
        <v>483</v>
      </c>
      <c r="D9" s="27">
        <v>46163</v>
      </c>
      <c r="E9" s="28">
        <v>0.25</v>
      </c>
      <c r="F9" s="27">
        <v>46175</v>
      </c>
      <c r="G9" s="28">
        <v>0.25</v>
      </c>
    </row>
    <row r="10" spans="1:7" x14ac:dyDescent="0.25">
      <c r="A10" s="4">
        <v>351499</v>
      </c>
      <c r="B10" s="3" t="s">
        <v>148</v>
      </c>
      <c r="C10" s="3" t="s">
        <v>483</v>
      </c>
      <c r="D10" s="27">
        <v>46163</v>
      </c>
      <c r="E10" s="28">
        <v>0.25</v>
      </c>
      <c r="F10" s="27">
        <v>46183</v>
      </c>
      <c r="G10" s="28">
        <v>0.25</v>
      </c>
    </row>
    <row r="11" spans="1:7" x14ac:dyDescent="0.25">
      <c r="A11" s="4">
        <v>351510</v>
      </c>
      <c r="B11" s="3" t="s">
        <v>154</v>
      </c>
      <c r="C11" s="3" t="s">
        <v>483</v>
      </c>
      <c r="D11" s="27">
        <v>46163</v>
      </c>
      <c r="E11" s="28">
        <v>0.25</v>
      </c>
      <c r="F11" s="27">
        <v>46183</v>
      </c>
      <c r="G11" s="28">
        <v>0.25</v>
      </c>
    </row>
    <row r="12" spans="1:7" x14ac:dyDescent="0.25">
      <c r="A12" s="4">
        <v>360968</v>
      </c>
      <c r="B12" s="3" t="s">
        <v>215</v>
      </c>
      <c r="C12" s="3" t="s">
        <v>483</v>
      </c>
      <c r="D12" s="27">
        <v>46163</v>
      </c>
      <c r="E12" s="28">
        <v>0.25</v>
      </c>
      <c r="F12" s="27">
        <v>46183</v>
      </c>
      <c r="G12" s="28">
        <v>0.25</v>
      </c>
    </row>
    <row r="13" spans="1:7" x14ac:dyDescent="0.25">
      <c r="A13" s="4">
        <v>363993</v>
      </c>
      <c r="B13" s="3" t="s">
        <v>426</v>
      </c>
      <c r="C13" s="3" t="s">
        <v>483</v>
      </c>
      <c r="D13" s="27">
        <v>46163</v>
      </c>
      <c r="E13" s="28">
        <v>0.25</v>
      </c>
      <c r="F13" s="27">
        <v>46183</v>
      </c>
      <c r="G13" s="28">
        <v>0.25</v>
      </c>
    </row>
    <row r="14" spans="1:7" x14ac:dyDescent="0.25">
      <c r="A14" s="4" t="s">
        <v>486</v>
      </c>
      <c r="B14" s="3"/>
      <c r="C14" s="3"/>
      <c r="D14" s="27"/>
      <c r="E14" s="28"/>
      <c r="F14" s="27"/>
      <c r="G14" s="2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Personal!$B$2:$B$166</xm:f>
          </x14:formula1>
          <xm:sqref>B2:B14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99"/>
  <sheetViews>
    <sheetView workbookViewId="0"/>
  </sheetViews>
  <sheetFormatPr baseColWidth="10" defaultColWidth="12.6640625" defaultRowHeight="15.75" customHeight="1" x14ac:dyDescent="0.25"/>
  <cols>
    <col min="2" max="2" width="23" customWidth="1"/>
    <col min="3" max="3" width="16.21875" customWidth="1"/>
    <col min="4" max="4" width="17.6640625" customWidth="1"/>
    <col min="5" max="5" width="18.77734375" customWidth="1"/>
    <col min="6" max="6" width="18.33203125" customWidth="1"/>
    <col min="8" max="8" width="23.77734375" customWidth="1"/>
    <col min="12" max="12" width="63.21875" customWidth="1"/>
    <col min="13" max="13" width="37.77734375" customWidth="1"/>
    <col min="16" max="19" width="6.6640625" customWidth="1"/>
  </cols>
  <sheetData>
    <row r="1" spans="1:30" ht="15.75" customHeight="1" x14ac:dyDescent="0.3">
      <c r="A1" s="30" t="s">
        <v>487</v>
      </c>
      <c r="B1" s="30" t="s">
        <v>488</v>
      </c>
      <c r="C1" s="30" t="s">
        <v>489</v>
      </c>
      <c r="D1" s="30" t="s">
        <v>490</v>
      </c>
      <c r="E1" s="30" t="s">
        <v>491</v>
      </c>
      <c r="F1" s="30" t="s">
        <v>492</v>
      </c>
    </row>
    <row r="2" spans="1:30" x14ac:dyDescent="0.25">
      <c r="A2" s="3" t="s">
        <v>493</v>
      </c>
      <c r="B2" s="3" t="s">
        <v>494</v>
      </c>
      <c r="C2" s="3" t="s">
        <v>495</v>
      </c>
      <c r="F2" s="3" t="s">
        <v>494</v>
      </c>
    </row>
    <row r="3" spans="1:30" x14ac:dyDescent="0.25">
      <c r="A3" s="3" t="s">
        <v>496</v>
      </c>
      <c r="B3" s="3" t="s">
        <v>497</v>
      </c>
      <c r="C3" s="3" t="s">
        <v>498</v>
      </c>
      <c r="F3" s="3" t="s">
        <v>499</v>
      </c>
      <c r="AC3" s="3" t="s">
        <v>500</v>
      </c>
    </row>
    <row r="4" spans="1:30" x14ac:dyDescent="0.25">
      <c r="A4" s="3" t="s">
        <v>501</v>
      </c>
      <c r="B4" s="3" t="s">
        <v>502</v>
      </c>
      <c r="C4" s="3" t="s">
        <v>498</v>
      </c>
      <c r="F4" s="3" t="s">
        <v>499</v>
      </c>
      <c r="AC4" s="3" t="s">
        <v>503</v>
      </c>
      <c r="AD4" s="3" t="s">
        <v>504</v>
      </c>
    </row>
    <row r="5" spans="1:30" x14ac:dyDescent="0.25">
      <c r="A5" s="3" t="s">
        <v>505</v>
      </c>
      <c r="B5" s="3" t="s">
        <v>506</v>
      </c>
      <c r="C5" s="3" t="s">
        <v>498</v>
      </c>
      <c r="F5" s="3" t="s">
        <v>499</v>
      </c>
      <c r="AD5" s="3" t="s">
        <v>507</v>
      </c>
    </row>
    <row r="6" spans="1:30" x14ac:dyDescent="0.25">
      <c r="A6" s="3" t="s">
        <v>508</v>
      </c>
      <c r="B6" s="3" t="s">
        <v>509</v>
      </c>
      <c r="C6" s="3" t="s">
        <v>498</v>
      </c>
      <c r="F6" s="3" t="s">
        <v>499</v>
      </c>
      <c r="AC6" s="3" t="s">
        <v>510</v>
      </c>
      <c r="AD6" s="3" t="s">
        <v>511</v>
      </c>
    </row>
    <row r="7" spans="1:30" x14ac:dyDescent="0.25">
      <c r="A7" s="3" t="s">
        <v>512</v>
      </c>
      <c r="B7" s="3" t="s">
        <v>513</v>
      </c>
      <c r="C7" s="3" t="s">
        <v>498</v>
      </c>
      <c r="F7" s="3" t="s">
        <v>499</v>
      </c>
      <c r="AC7" s="3" t="s">
        <v>514</v>
      </c>
      <c r="AD7" s="3" t="s">
        <v>515</v>
      </c>
    </row>
    <row r="8" spans="1:30" x14ac:dyDescent="0.25">
      <c r="A8" s="3" t="s">
        <v>516</v>
      </c>
      <c r="B8" s="3" t="s">
        <v>517</v>
      </c>
      <c r="C8" s="3" t="s">
        <v>518</v>
      </c>
      <c r="D8" s="3">
        <v>1</v>
      </c>
      <c r="E8" s="3">
        <v>3</v>
      </c>
      <c r="F8" s="3" t="s">
        <v>495</v>
      </c>
      <c r="AC8" s="3" t="s">
        <v>519</v>
      </c>
      <c r="AD8" s="3" t="s">
        <v>520</v>
      </c>
    </row>
    <row r="9" spans="1:30" x14ac:dyDescent="0.25">
      <c r="A9" s="3" t="s">
        <v>521</v>
      </c>
      <c r="B9" s="3" t="s">
        <v>522</v>
      </c>
      <c r="C9" s="3" t="s">
        <v>518</v>
      </c>
      <c r="D9" s="3">
        <v>1</v>
      </c>
      <c r="E9" s="3">
        <v>3</v>
      </c>
      <c r="F9" s="3" t="s">
        <v>495</v>
      </c>
      <c r="AC9" s="3" t="s">
        <v>523</v>
      </c>
      <c r="AD9" s="3" t="s">
        <v>520</v>
      </c>
    </row>
    <row r="10" spans="1:30" x14ac:dyDescent="0.25">
      <c r="A10" s="3" t="s">
        <v>524</v>
      </c>
      <c r="B10" s="3" t="s">
        <v>525</v>
      </c>
      <c r="C10" s="3" t="s">
        <v>518</v>
      </c>
      <c r="D10" s="3">
        <v>1</v>
      </c>
      <c r="E10" s="3">
        <v>2</v>
      </c>
      <c r="F10" s="3" t="s">
        <v>495</v>
      </c>
      <c r="AC10" s="3" t="s">
        <v>526</v>
      </c>
      <c r="AD10" s="3" t="s">
        <v>527</v>
      </c>
    </row>
    <row r="11" spans="1:30" x14ac:dyDescent="0.25">
      <c r="A11" s="3" t="s">
        <v>528</v>
      </c>
      <c r="B11" s="3" t="s">
        <v>529</v>
      </c>
      <c r="C11" s="3" t="s">
        <v>518</v>
      </c>
      <c r="D11" s="3">
        <v>2</v>
      </c>
      <c r="E11" s="3">
        <v>24</v>
      </c>
      <c r="F11" s="3" t="s">
        <v>495</v>
      </c>
      <c r="AD11" s="3" t="s">
        <v>530</v>
      </c>
    </row>
    <row r="12" spans="1:30" x14ac:dyDescent="0.25">
      <c r="A12" s="3" t="s">
        <v>531</v>
      </c>
      <c r="B12" s="3" t="s">
        <v>532</v>
      </c>
      <c r="C12" s="3" t="s">
        <v>518</v>
      </c>
      <c r="D12" s="3">
        <v>2</v>
      </c>
      <c r="E12" s="3">
        <v>24</v>
      </c>
      <c r="F12" s="3" t="s">
        <v>495</v>
      </c>
    </row>
    <row r="13" spans="1:30" x14ac:dyDescent="0.25">
      <c r="A13" s="3" t="s">
        <v>533</v>
      </c>
      <c r="B13" s="3" t="s">
        <v>534</v>
      </c>
      <c r="C13" s="3" t="s">
        <v>518</v>
      </c>
      <c r="D13" s="3">
        <v>2</v>
      </c>
      <c r="E13" s="3">
        <v>24</v>
      </c>
      <c r="F13" s="3" t="s">
        <v>495</v>
      </c>
    </row>
    <row r="14" spans="1:30" x14ac:dyDescent="0.25">
      <c r="A14" s="3" t="s">
        <v>535</v>
      </c>
      <c r="B14" s="3" t="s">
        <v>536</v>
      </c>
      <c r="C14" s="3" t="s">
        <v>498</v>
      </c>
      <c r="F14" s="3" t="s">
        <v>499</v>
      </c>
    </row>
    <row r="15" spans="1:30" x14ac:dyDescent="0.25">
      <c r="A15" s="3" t="s">
        <v>537</v>
      </c>
      <c r="B15" s="3" t="s">
        <v>538</v>
      </c>
      <c r="C15" s="3" t="s">
        <v>518</v>
      </c>
      <c r="D15" s="3">
        <v>1</v>
      </c>
      <c r="E15" s="3">
        <v>2</v>
      </c>
      <c r="F15" s="3" t="s">
        <v>495</v>
      </c>
    </row>
    <row r="16" spans="1:30" x14ac:dyDescent="0.25">
      <c r="A16" s="3" t="s">
        <v>539</v>
      </c>
      <c r="B16" s="3" t="s">
        <v>540</v>
      </c>
      <c r="C16" s="3" t="s">
        <v>518</v>
      </c>
      <c r="D16" s="3">
        <v>1</v>
      </c>
      <c r="E16" s="3">
        <v>2</v>
      </c>
      <c r="F16" s="3" t="s">
        <v>495</v>
      </c>
    </row>
    <row r="17" spans="1:16" x14ac:dyDescent="0.25">
      <c r="A17" s="3" t="s">
        <v>541</v>
      </c>
      <c r="B17" s="3" t="s">
        <v>542</v>
      </c>
      <c r="C17" s="3" t="s">
        <v>498</v>
      </c>
      <c r="F17" s="3" t="s">
        <v>499</v>
      </c>
    </row>
    <row r="18" spans="1:16" x14ac:dyDescent="0.25">
      <c r="A18" s="3" t="s">
        <v>543</v>
      </c>
      <c r="B18" s="3" t="s">
        <v>544</v>
      </c>
      <c r="C18" s="3" t="s">
        <v>518</v>
      </c>
      <c r="D18" s="3">
        <v>1</v>
      </c>
      <c r="E18" s="3">
        <v>2</v>
      </c>
      <c r="F18" s="3" t="s">
        <v>495</v>
      </c>
    </row>
    <row r="19" spans="1:16" x14ac:dyDescent="0.25">
      <c r="A19" s="3" t="s">
        <v>545</v>
      </c>
      <c r="B19" s="3" t="s">
        <v>546</v>
      </c>
      <c r="C19" s="3" t="s">
        <v>518</v>
      </c>
      <c r="D19" s="3">
        <v>1</v>
      </c>
      <c r="E19" s="3">
        <v>2</v>
      </c>
      <c r="F19" s="3" t="s">
        <v>495</v>
      </c>
    </row>
    <row r="20" spans="1:16" x14ac:dyDescent="0.25">
      <c r="A20" s="3" t="s">
        <v>547</v>
      </c>
      <c r="B20" s="3" t="s">
        <v>548</v>
      </c>
      <c r="C20" s="3" t="s">
        <v>518</v>
      </c>
      <c r="D20" s="3">
        <v>1</v>
      </c>
      <c r="E20" s="3">
        <v>2</v>
      </c>
      <c r="F20" s="3" t="s">
        <v>495</v>
      </c>
    </row>
    <row r="21" spans="1:16" x14ac:dyDescent="0.25">
      <c r="A21" s="3" t="s">
        <v>549</v>
      </c>
      <c r="B21" s="3" t="s">
        <v>550</v>
      </c>
      <c r="C21" s="3" t="s">
        <v>518</v>
      </c>
      <c r="D21" s="3">
        <v>1</v>
      </c>
      <c r="E21" s="3">
        <v>2</v>
      </c>
      <c r="F21" s="3" t="s">
        <v>495</v>
      </c>
    </row>
    <row r="22" spans="1:16" x14ac:dyDescent="0.25">
      <c r="A22" s="3" t="s">
        <v>551</v>
      </c>
      <c r="B22" s="3" t="s">
        <v>552</v>
      </c>
      <c r="C22" s="3" t="s">
        <v>498</v>
      </c>
      <c r="F22" s="3" t="s">
        <v>499</v>
      </c>
    </row>
    <row r="23" spans="1:16" ht="15.75" customHeight="1" x14ac:dyDescent="0.3">
      <c r="A23" s="3" t="s">
        <v>553</v>
      </c>
      <c r="B23" s="3" t="s">
        <v>554</v>
      </c>
      <c r="C23" s="3" t="s">
        <v>495</v>
      </c>
      <c r="D23" s="3">
        <v>1</v>
      </c>
      <c r="E23" s="3">
        <v>2</v>
      </c>
      <c r="F23" s="3" t="s">
        <v>495</v>
      </c>
      <c r="H23" s="31"/>
      <c r="I23" s="31"/>
      <c r="J23" s="32"/>
      <c r="K23" s="31"/>
      <c r="L23" s="32"/>
      <c r="M23" s="32"/>
      <c r="N23" s="32"/>
      <c r="O23" s="31"/>
      <c r="P23" s="31"/>
    </row>
    <row r="24" spans="1:16" ht="15.75" customHeight="1" x14ac:dyDescent="0.3">
      <c r="A24" s="3" t="s">
        <v>555</v>
      </c>
      <c r="B24" s="3" t="s">
        <v>556</v>
      </c>
      <c r="C24" s="3" t="s">
        <v>495</v>
      </c>
      <c r="D24" s="3">
        <v>1</v>
      </c>
      <c r="E24" s="3">
        <v>2</v>
      </c>
      <c r="F24" s="3" t="s">
        <v>495</v>
      </c>
      <c r="H24" s="31"/>
      <c r="I24" s="31"/>
      <c r="J24" s="32"/>
      <c r="K24" s="31"/>
      <c r="L24" s="32"/>
      <c r="M24" s="32"/>
      <c r="N24" s="31"/>
      <c r="O24" s="31"/>
      <c r="P24" s="31"/>
    </row>
    <row r="25" spans="1:16" ht="15.75" customHeight="1" x14ac:dyDescent="0.3">
      <c r="A25" s="3" t="s">
        <v>557</v>
      </c>
      <c r="B25" s="3" t="s">
        <v>558</v>
      </c>
      <c r="C25" s="3" t="s">
        <v>498</v>
      </c>
      <c r="F25" s="3" t="s">
        <v>559</v>
      </c>
      <c r="H25" s="31"/>
      <c r="I25" s="31"/>
      <c r="J25" s="32"/>
      <c r="K25" s="31"/>
      <c r="L25" s="32"/>
      <c r="M25" s="32"/>
      <c r="N25" s="32"/>
      <c r="O25" s="31"/>
      <c r="P25" s="31"/>
    </row>
    <row r="26" spans="1:16" ht="15.75" customHeight="1" x14ac:dyDescent="0.3">
      <c r="A26" s="3" t="s">
        <v>560</v>
      </c>
      <c r="B26" s="3" t="s">
        <v>559</v>
      </c>
      <c r="C26" s="3" t="s">
        <v>498</v>
      </c>
      <c r="F26" s="3" t="s">
        <v>559</v>
      </c>
      <c r="H26" s="31"/>
      <c r="I26" s="31"/>
      <c r="J26" s="31"/>
      <c r="K26" s="31"/>
      <c r="L26" s="32"/>
      <c r="M26" s="32"/>
      <c r="N26" s="31"/>
      <c r="O26" s="31"/>
      <c r="P26" s="31"/>
    </row>
    <row r="27" spans="1:16" ht="14.4" x14ac:dyDescent="0.3">
      <c r="A27" s="3" t="s">
        <v>561</v>
      </c>
      <c r="B27" s="3" t="s">
        <v>562</v>
      </c>
      <c r="C27" s="3" t="s">
        <v>498</v>
      </c>
      <c r="D27" s="3">
        <v>3</v>
      </c>
      <c r="E27" s="3">
        <v>3</v>
      </c>
      <c r="F27" s="3" t="s">
        <v>495</v>
      </c>
      <c r="H27" s="31"/>
      <c r="I27" s="31"/>
      <c r="J27" s="31"/>
      <c r="K27" s="31"/>
      <c r="L27" s="32"/>
      <c r="M27" s="32"/>
      <c r="N27" s="31"/>
      <c r="O27" s="31"/>
      <c r="P27" s="31"/>
    </row>
    <row r="28" spans="1:16" ht="14.4" x14ac:dyDescent="0.3">
      <c r="A28" s="3" t="s">
        <v>563</v>
      </c>
      <c r="B28" s="3" t="s">
        <v>564</v>
      </c>
      <c r="C28" s="3" t="s">
        <v>498</v>
      </c>
      <c r="D28" s="3">
        <v>3</v>
      </c>
      <c r="E28" s="3">
        <v>3</v>
      </c>
      <c r="F28" s="3" t="s">
        <v>495</v>
      </c>
      <c r="H28" s="31"/>
      <c r="I28" s="31"/>
      <c r="J28" s="31"/>
      <c r="K28" s="31"/>
      <c r="L28" s="32"/>
      <c r="M28" s="32"/>
      <c r="N28" s="31"/>
      <c r="O28" s="31"/>
      <c r="P28" s="31"/>
    </row>
    <row r="29" spans="1:16" ht="14.4" x14ac:dyDescent="0.3">
      <c r="A29" s="3" t="s">
        <v>565</v>
      </c>
      <c r="B29" s="3" t="s">
        <v>566</v>
      </c>
      <c r="C29" s="3" t="s">
        <v>498</v>
      </c>
      <c r="D29" s="3">
        <v>3</v>
      </c>
      <c r="E29" s="3">
        <v>3</v>
      </c>
      <c r="F29" s="3" t="s">
        <v>495</v>
      </c>
      <c r="H29" s="31"/>
      <c r="I29" s="31"/>
      <c r="J29" s="32"/>
      <c r="K29" s="31"/>
      <c r="L29" s="32"/>
      <c r="M29" s="32"/>
      <c r="N29" s="32"/>
      <c r="O29" s="31"/>
      <c r="P29" s="31"/>
    </row>
    <row r="30" spans="1:16" ht="14.4" x14ac:dyDescent="0.3">
      <c r="A30" s="3" t="s">
        <v>567</v>
      </c>
      <c r="B30" s="3" t="s">
        <v>568</v>
      </c>
      <c r="C30" s="3" t="s">
        <v>518</v>
      </c>
      <c r="D30" s="3">
        <v>5</v>
      </c>
      <c r="E30" s="3">
        <v>5</v>
      </c>
      <c r="F30" s="3" t="s">
        <v>495</v>
      </c>
      <c r="H30" s="31"/>
      <c r="I30" s="31"/>
      <c r="J30" s="31"/>
      <c r="K30" s="31"/>
      <c r="L30" s="32"/>
      <c r="M30" s="32"/>
      <c r="N30" s="31"/>
      <c r="O30" s="31"/>
      <c r="P30" s="31"/>
    </row>
    <row r="31" spans="1:16" ht="14.4" x14ac:dyDescent="0.3">
      <c r="A31" s="3" t="s">
        <v>569</v>
      </c>
      <c r="B31" s="3" t="s">
        <v>494</v>
      </c>
      <c r="C31" s="3" t="s">
        <v>495</v>
      </c>
      <c r="F31" s="3" t="s">
        <v>494</v>
      </c>
      <c r="H31" s="31"/>
      <c r="I31" s="31"/>
      <c r="J31" s="32"/>
      <c r="K31" s="31"/>
      <c r="L31" s="32"/>
      <c r="M31" s="32"/>
      <c r="N31" s="32"/>
      <c r="O31" s="31"/>
      <c r="P31" s="31"/>
    </row>
    <row r="32" spans="1:16" ht="14.4" x14ac:dyDescent="0.3">
      <c r="A32" s="3" t="s">
        <v>570</v>
      </c>
      <c r="B32" s="3" t="s">
        <v>571</v>
      </c>
      <c r="C32" s="3" t="s">
        <v>495</v>
      </c>
      <c r="D32" s="3">
        <v>1</v>
      </c>
      <c r="E32" s="3">
        <v>1</v>
      </c>
      <c r="F32" s="3" t="s">
        <v>495</v>
      </c>
      <c r="H32" s="31"/>
      <c r="I32" s="31"/>
      <c r="J32" s="32"/>
      <c r="K32" s="31"/>
      <c r="L32" s="32"/>
      <c r="M32" s="32"/>
      <c r="N32" s="32"/>
      <c r="O32" s="31"/>
      <c r="P32" s="31"/>
    </row>
    <row r="33" spans="1:16" ht="14.4" x14ac:dyDescent="0.3">
      <c r="A33" s="3" t="s">
        <v>572</v>
      </c>
      <c r="B33" s="3" t="s">
        <v>573</v>
      </c>
      <c r="C33" s="3" t="s">
        <v>495</v>
      </c>
      <c r="D33" s="3">
        <v>1</v>
      </c>
      <c r="E33" s="3">
        <v>1</v>
      </c>
      <c r="F33" s="3" t="s">
        <v>495</v>
      </c>
      <c r="H33" s="31"/>
      <c r="I33" s="31"/>
      <c r="J33" s="31"/>
      <c r="K33" s="31"/>
      <c r="L33" s="32"/>
      <c r="M33" s="32"/>
      <c r="N33" s="31"/>
      <c r="O33" s="31"/>
      <c r="P33" s="31"/>
    </row>
    <row r="34" spans="1:16" ht="14.4" x14ac:dyDescent="0.3">
      <c r="A34" s="3" t="s">
        <v>574</v>
      </c>
      <c r="B34" s="3" t="s">
        <v>575</v>
      </c>
      <c r="C34" s="3" t="s">
        <v>495</v>
      </c>
      <c r="D34" s="3">
        <v>1</v>
      </c>
      <c r="E34" s="3">
        <v>1</v>
      </c>
      <c r="F34" s="3" t="s">
        <v>495</v>
      </c>
      <c r="H34" s="31"/>
      <c r="I34" s="31"/>
      <c r="J34" s="31"/>
      <c r="K34" s="31"/>
      <c r="L34" s="32"/>
      <c r="M34" s="32"/>
      <c r="N34" s="31"/>
      <c r="O34" s="31"/>
      <c r="P34" s="31"/>
    </row>
    <row r="35" spans="1:16" ht="13.2" x14ac:dyDescent="0.25">
      <c r="A35" s="3" t="s">
        <v>576</v>
      </c>
      <c r="B35" s="3" t="s">
        <v>577</v>
      </c>
      <c r="C35" s="3" t="s">
        <v>495</v>
      </c>
      <c r="D35" s="3">
        <v>1</v>
      </c>
      <c r="E35" s="3">
        <v>1</v>
      </c>
      <c r="F35" s="3" t="s">
        <v>495</v>
      </c>
    </row>
    <row r="36" spans="1:16" ht="13.2" x14ac:dyDescent="0.25">
      <c r="A36" s="3" t="s">
        <v>578</v>
      </c>
      <c r="B36" s="3" t="s">
        <v>579</v>
      </c>
      <c r="C36" s="3" t="s">
        <v>518</v>
      </c>
      <c r="D36" s="3">
        <v>1</v>
      </c>
      <c r="E36" s="3">
        <v>1</v>
      </c>
      <c r="F36" s="3" t="s">
        <v>495</v>
      </c>
    </row>
    <row r="37" spans="1:16" ht="13.2" x14ac:dyDescent="0.25">
      <c r="A37" s="3" t="s">
        <v>580</v>
      </c>
      <c r="B37" s="3" t="s">
        <v>536</v>
      </c>
      <c r="C37" s="3" t="s">
        <v>498</v>
      </c>
      <c r="F37" s="3" t="s">
        <v>499</v>
      </c>
    </row>
    <row r="38" spans="1:16" ht="13.2" x14ac:dyDescent="0.25">
      <c r="A38" s="3" t="s">
        <v>581</v>
      </c>
      <c r="B38" s="3" t="s">
        <v>559</v>
      </c>
      <c r="C38" s="3" t="s">
        <v>498</v>
      </c>
      <c r="F38" s="3" t="s">
        <v>559</v>
      </c>
    </row>
    <row r="39" spans="1:16" ht="13.2" x14ac:dyDescent="0.25">
      <c r="A39" s="3" t="s">
        <v>582</v>
      </c>
      <c r="B39" s="3" t="s">
        <v>525</v>
      </c>
      <c r="C39" s="3" t="s">
        <v>518</v>
      </c>
      <c r="D39" s="3">
        <v>1</v>
      </c>
      <c r="E39" s="3">
        <v>1</v>
      </c>
      <c r="F39" s="3" t="s">
        <v>495</v>
      </c>
    </row>
    <row r="40" spans="1:16" ht="13.2" x14ac:dyDescent="0.25">
      <c r="A40" s="3" t="s">
        <v>583</v>
      </c>
      <c r="B40" s="3" t="s">
        <v>542</v>
      </c>
      <c r="C40" s="3" t="s">
        <v>498</v>
      </c>
      <c r="F40" s="3" t="s">
        <v>499</v>
      </c>
    </row>
    <row r="41" spans="1:16" ht="13.2" x14ac:dyDescent="0.25">
      <c r="A41" s="3" t="s">
        <v>584</v>
      </c>
      <c r="B41" s="3" t="s">
        <v>585</v>
      </c>
      <c r="C41" s="3" t="s">
        <v>518</v>
      </c>
      <c r="D41" s="3">
        <v>1</v>
      </c>
      <c r="E41" s="3">
        <v>1</v>
      </c>
      <c r="F41" s="3" t="s">
        <v>495</v>
      </c>
    </row>
    <row r="42" spans="1:16" ht="13.2" x14ac:dyDescent="0.25">
      <c r="A42" s="3" t="s">
        <v>586</v>
      </c>
      <c r="B42" s="3" t="s">
        <v>546</v>
      </c>
      <c r="C42" s="3" t="s">
        <v>518</v>
      </c>
      <c r="D42" s="3">
        <v>1</v>
      </c>
      <c r="E42" s="3">
        <v>1</v>
      </c>
      <c r="F42" s="3" t="s">
        <v>495</v>
      </c>
    </row>
    <row r="43" spans="1:16" ht="13.2" x14ac:dyDescent="0.25">
      <c r="A43" s="3" t="s">
        <v>587</v>
      </c>
      <c r="B43" s="3" t="s">
        <v>588</v>
      </c>
      <c r="C43" s="3" t="s">
        <v>495</v>
      </c>
      <c r="D43" s="3">
        <v>1</v>
      </c>
      <c r="E43" s="3">
        <v>1</v>
      </c>
      <c r="F43" s="3" t="s">
        <v>495</v>
      </c>
    </row>
    <row r="44" spans="1:16" ht="13.2" x14ac:dyDescent="0.25">
      <c r="A44" s="3" t="s">
        <v>589</v>
      </c>
      <c r="B44" s="3" t="s">
        <v>590</v>
      </c>
      <c r="C44" s="3" t="s">
        <v>518</v>
      </c>
      <c r="D44" s="3">
        <v>1</v>
      </c>
      <c r="E44" s="3">
        <v>1</v>
      </c>
      <c r="F44" s="3" t="s">
        <v>495</v>
      </c>
    </row>
    <row r="45" spans="1:16" ht="13.2" x14ac:dyDescent="0.25">
      <c r="A45" s="3" t="s">
        <v>591</v>
      </c>
      <c r="B45" s="3" t="s">
        <v>592</v>
      </c>
      <c r="C45" s="3" t="s">
        <v>495</v>
      </c>
      <c r="D45" s="3">
        <v>1</v>
      </c>
      <c r="E45" s="3">
        <v>1</v>
      </c>
      <c r="F45" s="3" t="s">
        <v>495</v>
      </c>
    </row>
    <row r="46" spans="1:16" ht="13.2" x14ac:dyDescent="0.25">
      <c r="A46" s="3" t="s">
        <v>593</v>
      </c>
      <c r="B46" s="3" t="s">
        <v>562</v>
      </c>
      <c r="C46" s="3" t="s">
        <v>498</v>
      </c>
      <c r="D46" s="3">
        <v>3</v>
      </c>
      <c r="E46" s="3">
        <v>3</v>
      </c>
      <c r="F46" s="3" t="s">
        <v>495</v>
      </c>
    </row>
    <row r="47" spans="1:16" ht="13.2" x14ac:dyDescent="0.25">
      <c r="A47" s="3" t="s">
        <v>594</v>
      </c>
      <c r="B47" s="3" t="s">
        <v>494</v>
      </c>
      <c r="C47" s="3" t="s">
        <v>495</v>
      </c>
      <c r="F47" s="3" t="s">
        <v>494</v>
      </c>
    </row>
    <row r="48" spans="1:16" ht="13.2" x14ac:dyDescent="0.25">
      <c r="A48" s="3" t="s">
        <v>595</v>
      </c>
      <c r="B48" s="3" t="s">
        <v>596</v>
      </c>
      <c r="C48" s="3" t="s">
        <v>495</v>
      </c>
      <c r="D48" s="3">
        <v>2</v>
      </c>
      <c r="E48" s="3">
        <v>2</v>
      </c>
      <c r="F48" s="3" t="s">
        <v>495</v>
      </c>
    </row>
    <row r="49" spans="1:6" ht="13.2" x14ac:dyDescent="0.25">
      <c r="A49" s="3" t="s">
        <v>597</v>
      </c>
      <c r="B49" s="3" t="s">
        <v>598</v>
      </c>
      <c r="C49" s="3" t="s">
        <v>495</v>
      </c>
      <c r="D49" s="3">
        <v>2</v>
      </c>
      <c r="E49" s="3">
        <v>2</v>
      </c>
      <c r="F49" s="3" t="s">
        <v>495</v>
      </c>
    </row>
    <row r="50" spans="1:6" ht="13.2" x14ac:dyDescent="0.25">
      <c r="A50" s="3" t="s">
        <v>599</v>
      </c>
      <c r="B50" s="3" t="s">
        <v>600</v>
      </c>
      <c r="C50" s="3" t="s">
        <v>495</v>
      </c>
      <c r="D50" s="3">
        <v>2</v>
      </c>
      <c r="E50" s="3">
        <v>2</v>
      </c>
      <c r="F50" s="3" t="s">
        <v>495</v>
      </c>
    </row>
    <row r="51" spans="1:6" ht="13.2" x14ac:dyDescent="0.25">
      <c r="A51" s="3" t="s">
        <v>601</v>
      </c>
      <c r="B51" s="3" t="s">
        <v>602</v>
      </c>
      <c r="C51" s="3" t="s">
        <v>495</v>
      </c>
      <c r="D51" s="3">
        <v>2</v>
      </c>
      <c r="E51" s="3">
        <v>2</v>
      </c>
      <c r="F51" s="3" t="s">
        <v>495</v>
      </c>
    </row>
    <row r="52" spans="1:6" ht="13.2" x14ac:dyDescent="0.25">
      <c r="A52" s="3" t="s">
        <v>603</v>
      </c>
      <c r="B52" s="3" t="s">
        <v>604</v>
      </c>
      <c r="C52" s="3" t="s">
        <v>495</v>
      </c>
      <c r="D52" s="3">
        <v>2</v>
      </c>
      <c r="E52" s="3">
        <v>2</v>
      </c>
      <c r="F52" s="3" t="s">
        <v>495</v>
      </c>
    </row>
    <row r="53" spans="1:6" ht="13.2" x14ac:dyDescent="0.25">
      <c r="A53" s="3" t="s">
        <v>605</v>
      </c>
      <c r="B53" s="3" t="s">
        <v>606</v>
      </c>
      <c r="C53" s="3" t="s">
        <v>495</v>
      </c>
      <c r="D53" s="3">
        <v>2</v>
      </c>
      <c r="E53" s="3">
        <v>2</v>
      </c>
      <c r="F53" s="3" t="s">
        <v>495</v>
      </c>
    </row>
    <row r="54" spans="1:6" ht="13.2" x14ac:dyDescent="0.25">
      <c r="A54" s="3" t="s">
        <v>607</v>
      </c>
      <c r="B54" s="3" t="s">
        <v>608</v>
      </c>
      <c r="C54" s="3" t="s">
        <v>495</v>
      </c>
      <c r="D54" s="3">
        <v>2</v>
      </c>
      <c r="E54" s="3">
        <v>2</v>
      </c>
      <c r="F54" s="3" t="s">
        <v>495</v>
      </c>
    </row>
    <row r="55" spans="1:6" ht="13.2" x14ac:dyDescent="0.25">
      <c r="A55" s="3" t="s">
        <v>609</v>
      </c>
      <c r="B55" s="3" t="s">
        <v>610</v>
      </c>
      <c r="C55" s="3" t="s">
        <v>495</v>
      </c>
      <c r="D55" s="3">
        <v>2</v>
      </c>
      <c r="E55" s="3">
        <v>2</v>
      </c>
      <c r="F55" s="3" t="s">
        <v>495</v>
      </c>
    </row>
    <row r="56" spans="1:6" ht="13.2" x14ac:dyDescent="0.25">
      <c r="A56" s="3" t="s">
        <v>611</v>
      </c>
      <c r="B56" s="3" t="s">
        <v>612</v>
      </c>
      <c r="C56" s="3" t="s">
        <v>495</v>
      </c>
      <c r="D56" s="3">
        <v>2</v>
      </c>
      <c r="E56" s="3">
        <v>2</v>
      </c>
      <c r="F56" s="3" t="s">
        <v>495</v>
      </c>
    </row>
    <row r="57" spans="1:6" ht="13.2" x14ac:dyDescent="0.25">
      <c r="A57" s="3" t="s">
        <v>613</v>
      </c>
      <c r="B57" s="3" t="s">
        <v>614</v>
      </c>
      <c r="C57" s="3" t="s">
        <v>518</v>
      </c>
      <c r="D57" s="3">
        <v>2</v>
      </c>
      <c r="E57" s="3">
        <v>2</v>
      </c>
      <c r="F57" s="3" t="s">
        <v>495</v>
      </c>
    </row>
    <row r="58" spans="1:6" ht="13.2" x14ac:dyDescent="0.25">
      <c r="A58" s="3" t="s">
        <v>615</v>
      </c>
      <c r="B58" s="3" t="s">
        <v>616</v>
      </c>
      <c r="C58" s="3" t="s">
        <v>518</v>
      </c>
      <c r="D58" s="3">
        <v>2</v>
      </c>
      <c r="E58" s="3">
        <v>2</v>
      </c>
      <c r="F58" s="3" t="s">
        <v>495</v>
      </c>
    </row>
    <row r="59" spans="1:6" ht="13.2" x14ac:dyDescent="0.25">
      <c r="A59" s="3" t="s">
        <v>617</v>
      </c>
      <c r="B59" s="3" t="s">
        <v>618</v>
      </c>
      <c r="C59" s="3" t="s">
        <v>518</v>
      </c>
      <c r="D59" s="3">
        <v>2</v>
      </c>
      <c r="E59" s="3">
        <v>2</v>
      </c>
      <c r="F59" s="3" t="s">
        <v>495</v>
      </c>
    </row>
    <row r="60" spans="1:6" ht="13.2" x14ac:dyDescent="0.25">
      <c r="A60" s="3" t="s">
        <v>619</v>
      </c>
      <c r="B60" s="3" t="s">
        <v>620</v>
      </c>
      <c r="C60" s="3" t="s">
        <v>518</v>
      </c>
      <c r="D60" s="3">
        <v>2</v>
      </c>
      <c r="E60" s="3">
        <v>2</v>
      </c>
      <c r="F60" s="3" t="s">
        <v>495</v>
      </c>
    </row>
    <row r="61" spans="1:6" ht="13.2" x14ac:dyDescent="0.25">
      <c r="A61" s="3" t="s">
        <v>621</v>
      </c>
      <c r="B61" s="3" t="s">
        <v>622</v>
      </c>
      <c r="C61" s="3" t="s">
        <v>518</v>
      </c>
      <c r="D61" s="3">
        <v>2</v>
      </c>
      <c r="E61" s="3">
        <v>2</v>
      </c>
      <c r="F61" s="3" t="s">
        <v>495</v>
      </c>
    </row>
    <row r="62" spans="1:6" ht="13.2" x14ac:dyDescent="0.25">
      <c r="A62" s="3" t="s">
        <v>623</v>
      </c>
      <c r="B62" s="3" t="s">
        <v>624</v>
      </c>
      <c r="C62" s="3" t="s">
        <v>498</v>
      </c>
      <c r="D62" s="3">
        <v>3</v>
      </c>
      <c r="E62" s="3">
        <v>3</v>
      </c>
      <c r="F62" s="3" t="s">
        <v>495</v>
      </c>
    </row>
    <row r="63" spans="1:6" ht="13.2" x14ac:dyDescent="0.25">
      <c r="A63" s="3" t="s">
        <v>625</v>
      </c>
      <c r="B63" s="3" t="s">
        <v>494</v>
      </c>
      <c r="C63" s="3" t="s">
        <v>495</v>
      </c>
      <c r="F63" s="3" t="s">
        <v>494</v>
      </c>
    </row>
    <row r="64" spans="1:6" ht="13.2" x14ac:dyDescent="0.25">
      <c r="A64" s="3" t="s">
        <v>626</v>
      </c>
      <c r="B64" s="3" t="s">
        <v>627</v>
      </c>
      <c r="C64" s="3" t="s">
        <v>498</v>
      </c>
      <c r="F64" s="3" t="s">
        <v>499</v>
      </c>
    </row>
    <row r="65" spans="1:6" ht="13.2" x14ac:dyDescent="0.25">
      <c r="A65" s="3" t="s">
        <v>628</v>
      </c>
      <c r="B65" s="3" t="s">
        <v>536</v>
      </c>
      <c r="C65" s="3" t="s">
        <v>498</v>
      </c>
      <c r="F65" s="3" t="s">
        <v>499</v>
      </c>
    </row>
    <row r="66" spans="1:6" ht="13.2" x14ac:dyDescent="0.25">
      <c r="A66" s="3" t="s">
        <v>629</v>
      </c>
      <c r="B66" s="3" t="s">
        <v>630</v>
      </c>
      <c r="C66" s="3" t="s">
        <v>518</v>
      </c>
      <c r="D66" s="3">
        <v>1</v>
      </c>
      <c r="E66" s="3">
        <v>2</v>
      </c>
      <c r="F66" s="3" t="s">
        <v>495</v>
      </c>
    </row>
    <row r="67" spans="1:6" ht="13.2" x14ac:dyDescent="0.25">
      <c r="A67" s="3" t="s">
        <v>631</v>
      </c>
      <c r="B67" s="3" t="s">
        <v>559</v>
      </c>
      <c r="C67" s="3" t="s">
        <v>498</v>
      </c>
      <c r="F67" s="3" t="s">
        <v>559</v>
      </c>
    </row>
    <row r="68" spans="1:6" ht="13.2" x14ac:dyDescent="0.25">
      <c r="A68" s="3" t="s">
        <v>632</v>
      </c>
      <c r="B68" s="3" t="s">
        <v>542</v>
      </c>
      <c r="C68" s="3" t="s">
        <v>498</v>
      </c>
      <c r="F68" s="3" t="s">
        <v>499</v>
      </c>
    </row>
    <row r="69" spans="1:6" ht="13.2" x14ac:dyDescent="0.25">
      <c r="A69" s="3" t="s">
        <v>633</v>
      </c>
      <c r="B69" s="3" t="s">
        <v>634</v>
      </c>
      <c r="C69" s="3" t="s">
        <v>518</v>
      </c>
      <c r="D69" s="3">
        <v>1</v>
      </c>
      <c r="E69" s="3">
        <v>2</v>
      </c>
      <c r="F69" s="3" t="s">
        <v>495</v>
      </c>
    </row>
    <row r="70" spans="1:6" ht="13.2" x14ac:dyDescent="0.25">
      <c r="A70" s="3" t="s">
        <v>635</v>
      </c>
      <c r="B70" s="3" t="s">
        <v>636</v>
      </c>
      <c r="C70" s="3" t="s">
        <v>495</v>
      </c>
      <c r="D70" s="3">
        <v>2</v>
      </c>
      <c r="E70" s="3">
        <v>2</v>
      </c>
      <c r="F70" s="3" t="s">
        <v>495</v>
      </c>
    </row>
    <row r="71" spans="1:6" ht="13.2" x14ac:dyDescent="0.25">
      <c r="A71" s="3" t="s">
        <v>637</v>
      </c>
      <c r="B71" s="3" t="s">
        <v>638</v>
      </c>
      <c r="C71" s="3" t="s">
        <v>498</v>
      </c>
      <c r="F71" s="3" t="s">
        <v>499</v>
      </c>
    </row>
    <row r="72" spans="1:6" ht="13.2" x14ac:dyDescent="0.25">
      <c r="A72" s="3" t="s">
        <v>639</v>
      </c>
      <c r="B72" s="3" t="s">
        <v>562</v>
      </c>
      <c r="C72" s="3" t="s">
        <v>498</v>
      </c>
      <c r="D72" s="3">
        <v>3</v>
      </c>
      <c r="E72" s="3">
        <v>3</v>
      </c>
      <c r="F72" s="3" t="s">
        <v>495</v>
      </c>
    </row>
    <row r="73" spans="1:6" ht="13.2" x14ac:dyDescent="0.25">
      <c r="A73" s="3" t="s">
        <v>640</v>
      </c>
      <c r="B73" s="3" t="s">
        <v>564</v>
      </c>
      <c r="C73" s="3" t="s">
        <v>498</v>
      </c>
      <c r="D73" s="3">
        <v>3</v>
      </c>
      <c r="E73" s="3">
        <v>3</v>
      </c>
      <c r="F73" s="3" t="s">
        <v>495</v>
      </c>
    </row>
    <row r="74" spans="1:6" ht="13.2" x14ac:dyDescent="0.25">
      <c r="A74" s="3" t="s">
        <v>641</v>
      </c>
      <c r="B74" s="3" t="s">
        <v>566</v>
      </c>
      <c r="C74" s="3" t="s">
        <v>498</v>
      </c>
      <c r="D74" s="3">
        <v>3</v>
      </c>
      <c r="E74" s="3">
        <v>3</v>
      </c>
      <c r="F74" s="3" t="s">
        <v>495</v>
      </c>
    </row>
    <row r="75" spans="1:6" ht="13.2" x14ac:dyDescent="0.25">
      <c r="A75" s="3" t="s">
        <v>642</v>
      </c>
      <c r="B75" s="3" t="s">
        <v>568</v>
      </c>
      <c r="C75" s="3" t="s">
        <v>518</v>
      </c>
      <c r="D75" s="3">
        <v>5</v>
      </c>
      <c r="E75" s="3">
        <v>48</v>
      </c>
      <c r="F75" s="3" t="s">
        <v>495</v>
      </c>
    </row>
    <row r="76" spans="1:6" ht="13.2" x14ac:dyDescent="0.25">
      <c r="A76" s="3" t="s">
        <v>643</v>
      </c>
      <c r="B76" s="3" t="s">
        <v>494</v>
      </c>
      <c r="C76" s="3" t="s">
        <v>495</v>
      </c>
      <c r="D76" s="3">
        <v>2</v>
      </c>
      <c r="E76" s="3">
        <v>2</v>
      </c>
      <c r="F76" s="3" t="s">
        <v>494</v>
      </c>
    </row>
    <row r="77" spans="1:6" ht="13.2" x14ac:dyDescent="0.25">
      <c r="A77" s="3" t="s">
        <v>644</v>
      </c>
      <c r="B77" s="3" t="s">
        <v>645</v>
      </c>
      <c r="C77" s="3" t="s">
        <v>498</v>
      </c>
      <c r="F77" s="3" t="s">
        <v>499</v>
      </c>
    </row>
    <row r="78" spans="1:6" ht="13.2" x14ac:dyDescent="0.25">
      <c r="A78" s="3" t="s">
        <v>646</v>
      </c>
      <c r="B78" s="3" t="s">
        <v>647</v>
      </c>
      <c r="C78" s="3" t="s">
        <v>495</v>
      </c>
      <c r="D78" s="3">
        <v>2</v>
      </c>
      <c r="E78" s="3">
        <v>2</v>
      </c>
      <c r="F78" s="3" t="s">
        <v>495</v>
      </c>
    </row>
    <row r="79" spans="1:6" ht="13.2" x14ac:dyDescent="0.25">
      <c r="A79" s="3" t="s">
        <v>648</v>
      </c>
      <c r="B79" s="3" t="s">
        <v>649</v>
      </c>
      <c r="C79" s="3" t="s">
        <v>498</v>
      </c>
      <c r="D79" s="3">
        <v>2</v>
      </c>
      <c r="E79" s="3">
        <v>2</v>
      </c>
      <c r="F79" s="3" t="s">
        <v>495</v>
      </c>
    </row>
    <row r="80" spans="1:6" ht="13.2" x14ac:dyDescent="0.25">
      <c r="A80" s="3" t="s">
        <v>650</v>
      </c>
      <c r="B80" s="3" t="s">
        <v>559</v>
      </c>
      <c r="C80" s="3" t="s">
        <v>498</v>
      </c>
      <c r="D80" s="3">
        <v>2</v>
      </c>
      <c r="E80" s="3">
        <v>2</v>
      </c>
      <c r="F80" s="3" t="s">
        <v>495</v>
      </c>
    </row>
    <row r="81" spans="1:6" ht="13.2" x14ac:dyDescent="0.25">
      <c r="A81" s="3" t="s">
        <v>651</v>
      </c>
      <c r="B81" s="3" t="s">
        <v>652</v>
      </c>
      <c r="C81" s="3" t="s">
        <v>495</v>
      </c>
      <c r="D81" s="3">
        <v>2</v>
      </c>
      <c r="E81" s="3">
        <v>2</v>
      </c>
      <c r="F81" s="3" t="s">
        <v>495</v>
      </c>
    </row>
    <row r="82" spans="1:6" ht="13.2" x14ac:dyDescent="0.25">
      <c r="A82" s="3" t="s">
        <v>653</v>
      </c>
      <c r="B82" s="3" t="s">
        <v>654</v>
      </c>
      <c r="C82" s="3" t="s">
        <v>495</v>
      </c>
      <c r="D82" s="3">
        <v>2</v>
      </c>
      <c r="E82" s="3">
        <v>2</v>
      </c>
      <c r="F82" s="3" t="s">
        <v>495</v>
      </c>
    </row>
    <row r="83" spans="1:6" ht="13.2" x14ac:dyDescent="0.25">
      <c r="A83" s="3" t="s">
        <v>655</v>
      </c>
      <c r="B83" s="3" t="s">
        <v>656</v>
      </c>
      <c r="C83" s="3" t="s">
        <v>657</v>
      </c>
      <c r="D83" s="3">
        <v>2</v>
      </c>
      <c r="E83" s="3">
        <v>2</v>
      </c>
      <c r="F83" s="3" t="s">
        <v>495</v>
      </c>
    </row>
    <row r="84" spans="1:6" ht="13.2" x14ac:dyDescent="0.25">
      <c r="A84" s="3" t="s">
        <v>658</v>
      </c>
      <c r="B84" s="3" t="s">
        <v>612</v>
      </c>
      <c r="C84" s="3" t="s">
        <v>495</v>
      </c>
      <c r="D84" s="3">
        <v>2</v>
      </c>
      <c r="E84" s="3">
        <v>2</v>
      </c>
      <c r="F84" s="3" t="s">
        <v>495</v>
      </c>
    </row>
    <row r="85" spans="1:6" ht="13.2" x14ac:dyDescent="0.25">
      <c r="A85" s="3" t="s">
        <v>659</v>
      </c>
      <c r="B85" s="3" t="s">
        <v>660</v>
      </c>
      <c r="C85" s="3" t="s">
        <v>495</v>
      </c>
      <c r="D85" s="3">
        <v>2</v>
      </c>
      <c r="E85" s="3">
        <v>2</v>
      </c>
      <c r="F85" s="3" t="s">
        <v>495</v>
      </c>
    </row>
    <row r="86" spans="1:6" ht="13.2" x14ac:dyDescent="0.25">
      <c r="A86" s="3" t="s">
        <v>661</v>
      </c>
      <c r="B86" s="3" t="s">
        <v>494</v>
      </c>
      <c r="C86" s="3" t="s">
        <v>494</v>
      </c>
      <c r="F86" s="3" t="s">
        <v>494</v>
      </c>
    </row>
    <row r="87" spans="1:6" ht="13.2" x14ac:dyDescent="0.25">
      <c r="A87" s="3" t="s">
        <v>662</v>
      </c>
      <c r="B87" s="3" t="s">
        <v>663</v>
      </c>
      <c r="C87" s="3" t="s">
        <v>499</v>
      </c>
      <c r="F87" s="3" t="s">
        <v>499</v>
      </c>
    </row>
    <row r="88" spans="1:6" ht="13.2" x14ac:dyDescent="0.25">
      <c r="A88" s="3" t="s">
        <v>664</v>
      </c>
      <c r="B88" s="3" t="s">
        <v>536</v>
      </c>
      <c r="C88" s="3" t="s">
        <v>499</v>
      </c>
      <c r="F88" s="3" t="s">
        <v>499</v>
      </c>
    </row>
    <row r="89" spans="1:6" ht="13.2" x14ac:dyDescent="0.25">
      <c r="A89" s="3" t="s">
        <v>665</v>
      </c>
      <c r="B89" s="3" t="s">
        <v>559</v>
      </c>
      <c r="C89" s="3" t="s">
        <v>559</v>
      </c>
      <c r="F89" s="3" t="s">
        <v>559</v>
      </c>
    </row>
    <row r="90" spans="1:6" ht="13.2" x14ac:dyDescent="0.25">
      <c r="A90" s="3" t="s">
        <v>666</v>
      </c>
      <c r="B90" s="3" t="s">
        <v>579</v>
      </c>
      <c r="C90" s="3" t="s">
        <v>495</v>
      </c>
      <c r="D90" s="3">
        <v>2</v>
      </c>
      <c r="E90" s="3">
        <v>2</v>
      </c>
      <c r="F90" s="3" t="s">
        <v>667</v>
      </c>
    </row>
    <row r="91" spans="1:6" ht="13.2" x14ac:dyDescent="0.25">
      <c r="A91" s="3" t="s">
        <v>668</v>
      </c>
      <c r="B91" s="3" t="s">
        <v>622</v>
      </c>
      <c r="C91" s="3" t="s">
        <v>499</v>
      </c>
      <c r="F91" s="3" t="s">
        <v>499</v>
      </c>
    </row>
    <row r="92" spans="1:6" ht="13.2" x14ac:dyDescent="0.25">
      <c r="A92" s="3" t="s">
        <v>669</v>
      </c>
      <c r="B92" s="3" t="s">
        <v>638</v>
      </c>
      <c r="C92" s="3" t="s">
        <v>499</v>
      </c>
      <c r="F92" s="3" t="s">
        <v>499</v>
      </c>
    </row>
    <row r="93" spans="1:6" ht="13.2" x14ac:dyDescent="0.25">
      <c r="A93" s="3" t="s">
        <v>670</v>
      </c>
      <c r="B93" s="3" t="s">
        <v>562</v>
      </c>
      <c r="C93" s="3" t="s">
        <v>624</v>
      </c>
      <c r="D93" s="3">
        <v>3</v>
      </c>
      <c r="E93" s="3">
        <v>3</v>
      </c>
      <c r="F93" s="3" t="s">
        <v>624</v>
      </c>
    </row>
    <row r="94" spans="1:6" ht="13.2" x14ac:dyDescent="0.25">
      <c r="A94" s="3" t="s">
        <v>671</v>
      </c>
      <c r="B94" s="3" t="s">
        <v>564</v>
      </c>
      <c r="C94" s="3" t="s">
        <v>624</v>
      </c>
      <c r="D94" s="3">
        <v>3</v>
      </c>
      <c r="E94" s="3">
        <v>3</v>
      </c>
      <c r="F94" s="3" t="s">
        <v>624</v>
      </c>
    </row>
    <row r="95" spans="1:6" ht="13.2" x14ac:dyDescent="0.25">
      <c r="A95" s="3" t="s">
        <v>672</v>
      </c>
      <c r="B95" s="3" t="s">
        <v>568</v>
      </c>
      <c r="C95" s="3" t="s">
        <v>495</v>
      </c>
      <c r="D95" s="3">
        <v>5</v>
      </c>
      <c r="E95" s="3">
        <v>48</v>
      </c>
      <c r="F95" s="3" t="s">
        <v>495</v>
      </c>
    </row>
    <row r="96" spans="1:6" ht="13.2" x14ac:dyDescent="0.25">
      <c r="A96" s="3" t="s">
        <v>673</v>
      </c>
      <c r="B96" s="3" t="s">
        <v>494</v>
      </c>
      <c r="C96" s="3" t="s">
        <v>495</v>
      </c>
      <c r="F96" s="3" t="s">
        <v>667</v>
      </c>
    </row>
    <row r="97" spans="1:6" ht="13.2" x14ac:dyDescent="0.25">
      <c r="A97" s="3" t="s">
        <v>674</v>
      </c>
      <c r="B97" s="3" t="s">
        <v>675</v>
      </c>
      <c r="C97" s="3" t="s">
        <v>498</v>
      </c>
      <c r="F97" s="3" t="s">
        <v>675</v>
      </c>
    </row>
    <row r="98" spans="1:6" ht="13.2" x14ac:dyDescent="0.25">
      <c r="A98" s="3" t="s">
        <v>676</v>
      </c>
      <c r="B98" s="3" t="s">
        <v>677</v>
      </c>
      <c r="C98" s="3" t="s">
        <v>498</v>
      </c>
      <c r="D98" s="3">
        <v>8</v>
      </c>
      <c r="E98" s="3">
        <v>8</v>
      </c>
      <c r="F98" s="3" t="s">
        <v>667</v>
      </c>
    </row>
    <row r="99" spans="1:6" ht="13.2" x14ac:dyDescent="0.25">
      <c r="A99" s="3" t="s">
        <v>678</v>
      </c>
      <c r="B99" s="3" t="s">
        <v>679</v>
      </c>
      <c r="C99" s="3" t="s">
        <v>498</v>
      </c>
      <c r="D99" s="3">
        <v>8</v>
      </c>
      <c r="E99" s="3">
        <v>8</v>
      </c>
      <c r="F99" s="3" t="s">
        <v>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9"/>
  <sheetViews>
    <sheetView tabSelected="1" workbookViewId="0">
      <selection activeCell="B1" sqref="B1"/>
    </sheetView>
  </sheetViews>
  <sheetFormatPr baseColWidth="10" defaultColWidth="12.6640625" defaultRowHeight="15.75" customHeight="1" x14ac:dyDescent="0.25"/>
  <cols>
    <col min="1" max="1" width="6.44140625" customWidth="1"/>
    <col min="2" max="2" width="14.44140625" customWidth="1"/>
    <col min="3" max="3" width="8.44140625" customWidth="1"/>
  </cols>
  <sheetData>
    <row r="1" spans="1:9" ht="15.75" customHeight="1" x14ac:dyDescent="0.3">
      <c r="A1" s="30" t="s">
        <v>4</v>
      </c>
      <c r="B1" s="30" t="s">
        <v>5</v>
      </c>
      <c r="C1" s="30" t="s">
        <v>8</v>
      </c>
      <c r="D1" s="30" t="s">
        <v>487</v>
      </c>
      <c r="E1" s="30" t="s">
        <v>488</v>
      </c>
      <c r="F1" s="30" t="s">
        <v>489</v>
      </c>
      <c r="G1" s="30" t="s">
        <v>490</v>
      </c>
      <c r="H1" s="30" t="s">
        <v>491</v>
      </c>
      <c r="I1" s="30" t="s">
        <v>492</v>
      </c>
    </row>
    <row r="2" spans="1:9" x14ac:dyDescent="0.25">
      <c r="A2" s="3" t="s">
        <v>13</v>
      </c>
      <c r="B2" s="4" t="s">
        <v>22</v>
      </c>
      <c r="C2" s="3" t="s">
        <v>23</v>
      </c>
      <c r="D2" s="3" t="s">
        <v>680</v>
      </c>
      <c r="E2" s="3" t="s">
        <v>681</v>
      </c>
      <c r="F2" s="3" t="s">
        <v>518</v>
      </c>
      <c r="G2" s="3">
        <v>1</v>
      </c>
      <c r="H2" s="3">
        <v>3</v>
      </c>
      <c r="I2" s="3" t="s">
        <v>495</v>
      </c>
    </row>
    <row r="3" spans="1:9" x14ac:dyDescent="0.25">
      <c r="A3" s="3" t="s">
        <v>13</v>
      </c>
      <c r="B3" s="4" t="s">
        <v>22</v>
      </c>
      <c r="C3" s="3" t="s">
        <v>23</v>
      </c>
      <c r="D3" s="3" t="s">
        <v>682</v>
      </c>
      <c r="E3" s="3" t="s">
        <v>683</v>
      </c>
      <c r="F3" s="3" t="s">
        <v>518</v>
      </c>
      <c r="G3" s="3">
        <v>1</v>
      </c>
      <c r="H3" s="3">
        <v>1</v>
      </c>
      <c r="I3" s="3" t="s">
        <v>495</v>
      </c>
    </row>
    <row r="4" spans="1:9" x14ac:dyDescent="0.25">
      <c r="A4" s="3" t="s">
        <v>13</v>
      </c>
      <c r="B4" s="4" t="s">
        <v>22</v>
      </c>
      <c r="C4" s="3" t="s">
        <v>23</v>
      </c>
      <c r="D4" s="3" t="s">
        <v>684</v>
      </c>
      <c r="E4" s="3" t="s">
        <v>685</v>
      </c>
      <c r="F4" s="3" t="s">
        <v>518</v>
      </c>
      <c r="G4" s="3">
        <v>2</v>
      </c>
      <c r="H4" s="3">
        <v>2</v>
      </c>
      <c r="I4" s="3" t="s">
        <v>495</v>
      </c>
    </row>
    <row r="5" spans="1:9" x14ac:dyDescent="0.25">
      <c r="A5" s="3" t="s">
        <v>13</v>
      </c>
      <c r="B5" s="4" t="s">
        <v>26</v>
      </c>
      <c r="C5" s="3" t="s">
        <v>23</v>
      </c>
      <c r="D5" s="3" t="s">
        <v>680</v>
      </c>
    </row>
    <row r="6" spans="1:9" x14ac:dyDescent="0.25">
      <c r="A6" s="3" t="s">
        <v>13</v>
      </c>
      <c r="B6" s="4" t="s">
        <v>26</v>
      </c>
      <c r="C6" s="3" t="s">
        <v>23</v>
      </c>
      <c r="D6" s="3" t="s">
        <v>682</v>
      </c>
    </row>
    <row r="7" spans="1:9" x14ac:dyDescent="0.25">
      <c r="A7" s="3" t="s">
        <v>13</v>
      </c>
      <c r="B7" s="4" t="s">
        <v>26</v>
      </c>
      <c r="C7" s="3" t="s">
        <v>23</v>
      </c>
      <c r="D7" s="3" t="s">
        <v>684</v>
      </c>
    </row>
    <row r="8" spans="1:9" x14ac:dyDescent="0.25">
      <c r="A8" s="3" t="s">
        <v>13</v>
      </c>
      <c r="B8" s="4" t="s">
        <v>29</v>
      </c>
      <c r="C8" s="3" t="s">
        <v>23</v>
      </c>
      <c r="D8" s="3" t="s">
        <v>680</v>
      </c>
    </row>
    <row r="9" spans="1:9" x14ac:dyDescent="0.25">
      <c r="A9" s="3" t="s">
        <v>13</v>
      </c>
      <c r="B9" s="4" t="s">
        <v>29</v>
      </c>
      <c r="C9" s="3" t="s">
        <v>23</v>
      </c>
      <c r="D9" s="3" t="s">
        <v>682</v>
      </c>
    </row>
    <row r="10" spans="1:9" x14ac:dyDescent="0.25">
      <c r="A10" s="3" t="s">
        <v>13</v>
      </c>
      <c r="B10" s="4" t="s">
        <v>29</v>
      </c>
      <c r="C10" s="3" t="s">
        <v>23</v>
      </c>
      <c r="D10" s="3" t="s">
        <v>684</v>
      </c>
    </row>
    <row r="11" spans="1:9" x14ac:dyDescent="0.25">
      <c r="A11" s="3" t="s">
        <v>37</v>
      </c>
      <c r="C11" s="3" t="s">
        <v>23</v>
      </c>
      <c r="D11" s="3" t="s">
        <v>686</v>
      </c>
    </row>
    <row r="12" spans="1:9" x14ac:dyDescent="0.25">
      <c r="A12" s="3" t="s">
        <v>64</v>
      </c>
      <c r="B12" s="3" t="s">
        <v>687</v>
      </c>
      <c r="D12" s="3" t="s">
        <v>688</v>
      </c>
      <c r="E12" s="3" t="s">
        <v>689</v>
      </c>
      <c r="F12" s="3" t="s">
        <v>518</v>
      </c>
    </row>
    <row r="13" spans="1:9" x14ac:dyDescent="0.25">
      <c r="A13" s="3" t="s">
        <v>64</v>
      </c>
      <c r="B13" s="3" t="s">
        <v>687</v>
      </c>
      <c r="D13" s="3" t="s">
        <v>690</v>
      </c>
      <c r="E13" s="3" t="s">
        <v>691</v>
      </c>
      <c r="F13" s="3" t="s">
        <v>518</v>
      </c>
    </row>
    <row r="14" spans="1:9" x14ac:dyDescent="0.25">
      <c r="A14" s="3" t="s">
        <v>64</v>
      </c>
      <c r="B14" s="3" t="s">
        <v>687</v>
      </c>
      <c r="D14" s="3" t="s">
        <v>692</v>
      </c>
      <c r="E14" s="3" t="s">
        <v>693</v>
      </c>
      <c r="F14" s="3" t="s">
        <v>518</v>
      </c>
    </row>
    <row r="15" spans="1:9" x14ac:dyDescent="0.25">
      <c r="A15" s="3" t="s">
        <v>64</v>
      </c>
      <c r="B15" s="3" t="s">
        <v>687</v>
      </c>
      <c r="D15" s="3" t="s">
        <v>694</v>
      </c>
      <c r="E15" s="3" t="s">
        <v>695</v>
      </c>
      <c r="F15" s="3" t="s">
        <v>518</v>
      </c>
    </row>
    <row r="16" spans="1:9" x14ac:dyDescent="0.25">
      <c r="A16" s="3" t="s">
        <v>64</v>
      </c>
      <c r="B16" s="3" t="s">
        <v>687</v>
      </c>
      <c r="D16" s="3" t="s">
        <v>696</v>
      </c>
      <c r="E16" s="3" t="s">
        <v>697</v>
      </c>
      <c r="F16" s="3" t="s">
        <v>518</v>
      </c>
    </row>
    <row r="17" spans="1:6" x14ac:dyDescent="0.25">
      <c r="A17" s="3" t="s">
        <v>64</v>
      </c>
      <c r="B17" s="3" t="s">
        <v>687</v>
      </c>
      <c r="D17" s="3" t="s">
        <v>698</v>
      </c>
      <c r="E17" s="3" t="s">
        <v>699</v>
      </c>
      <c r="F17" s="3" t="s">
        <v>518</v>
      </c>
    </row>
    <row r="18" spans="1:6" x14ac:dyDescent="0.25">
      <c r="A18" s="3" t="s">
        <v>700</v>
      </c>
      <c r="D18" s="3" t="s">
        <v>701</v>
      </c>
    </row>
    <row r="19" spans="1:6" x14ac:dyDescent="0.25">
      <c r="A19" s="3" t="s">
        <v>700</v>
      </c>
      <c r="D19" s="3" t="s">
        <v>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Programa</vt:lpstr>
      <vt:lpstr>Personal</vt:lpstr>
      <vt:lpstr>Equipos</vt:lpstr>
      <vt:lpstr>Personal ausente</vt:lpstr>
      <vt:lpstr>Puestos Fijos</vt:lpstr>
      <vt:lpstr>Puestos SKU</vt:lpstr>
      <vt:lpstr>Operadores</vt:lpstr>
      <vt:lpstr>Lineas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Joswill Espinoza</dc:creator>
  <cp:lastModifiedBy>Joswill Espinoza</cp:lastModifiedBy>
  <dcterms:modified xsi:type="dcterms:W3CDTF">2026-06-29T03:31:57Z</dcterms:modified>
</cp:coreProperties>
</file>